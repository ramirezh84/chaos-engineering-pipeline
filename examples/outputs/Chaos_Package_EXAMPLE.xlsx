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cenario Catalog" sheetId="2" state="visible" r:id="rId4"/>
    <sheet name="Assertion Matrix" sheetId="3" state="visible" r:id="rId5"/>
    <sheet name="Coverage Gaps" sheetId="4" state="visible" r:id="rId6"/>
  </sheets>
  <definedNames>
    <definedName function="false" hidden="true" localSheetId="2" name="_xlnm._FilterDatabase" vbProcedure="false">'Assertion Matrix'!$A$1:$C$146</definedName>
    <definedName function="false" hidden="true" localSheetId="3" name="_xlnm._FilterDatabase" vbProcedure="false">'Coverage Gaps'!$A$1:$C$24</definedName>
    <definedName function="false" hidden="true" localSheetId="1" name="_xlnm._FilterDatabase" vbProcedure="false">'Scenario Catalog'!$A$1:$O$119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<sst xmlns="http://schemas.openxmlformats.org/spreadsheetml/2006/main" count="1603" uniqueCount="448">
  <si>
    <t xml:space="preserve">Chaos Engineering Package — Executive Summary</t>
  </si>
  <si>
    <t xml:space="preserve">Generated from 1 journey file(s) and 1 service scan card(s). 118 scenarios generated; 23 coverage gaps. Every scenario cites the evidence that generated it; no scenario exists without evidence (accuracy contract).</t>
  </si>
  <si>
    <t xml:space="preserve">Focus areas (ranked by summed priority of contributing scenarios):</t>
  </si>
  <si>
    <t xml:space="preserve">•  account-locator-service  [Infra] — 17 scenario(s), summed priority 183. Top: "Single-task kill — N=1 replica exposure" (NEEDS_ASSESSMENT — conflicting replica evidence)</t>
  </si>
  <si>
    <t xml:space="preserve">•  core-balance-enrichment  [Infra] — 16 scenario(s), summed priority 173. Top: "Single-task kill — N=1 replica exposure" (Proposed)</t>
  </si>
  <si>
    <t xml:space="preserve">•  account-feature-management  [Infra] — 13 scenario(s), summed priority 145. Top: "Single-task kill — N=1 replica exposure" (Proposed)</t>
  </si>
  <si>
    <t xml:space="preserve">•  core-subledger-management  [Infra] — 13 scenario(s), summed priority 143. Top: "Single-task kill — N=1 replica exposure" (Proposed)</t>
  </si>
  <si>
    <t xml:space="preserve">•  merchant-category-reference-data-service  [Infra] — 11 scenario(s), summed priority 123. Top: "Single-task kill — N=1 replica exposure" (Proposed)</t>
  </si>
  <si>
    <t xml:space="preserve">•  core-account-management  [Infra] — 11 scenario(s), summed priority 123. Top: "Single-task kill — N=1 replica exposure" (Proposed)</t>
  </si>
  <si>
    <t xml:space="preserve">•  core-reference-management  [Infra] — 11 scenario(s), summed priority 120. Top: "Single-task kill — N=1 replica exposure" (Proposed)</t>
  </si>
  <si>
    <t xml:space="preserve">•  core-subledger-data-consumer  [Infra] — 9 scenario(s), summed priority 103. Top: "Single-task kill — N=1 replica exposure" (Proposed)</t>
  </si>
  <si>
    <t xml:space="preserve">•  account-locator-service  [App] — 6 scenario(s), summed priority 80. Top: "Missing circuit breaker — gap finding + post-fix trip test" (BLOCKED — config gap)</t>
  </si>
  <si>
    <t xml:space="preserve">•  core-subledger-management  [Downstream] — 4 scenario(s), summed priority 80. Top: "Dependency slow-but-alive at the coded timeout boundary" (Proposed)</t>
  </si>
  <si>
    <t xml:space="preserve">•  core-account-management  [Downstream] — 3 scenario(s), summed priority 60. Top: "Dependency slow-but-alive at the coded timeout boundary" (Proposed)</t>
  </si>
  <si>
    <t xml:space="preserve">•  cbs-subledger-mgmt  [Downstream] — 1 scenario(s), summed priority 25. Top: "CONFIRMED DEFECT — regression-guard scenario (post-fix)" (CONFIRMED_DEFECT — fix first)</t>
  </si>
  <si>
    <t xml:space="preserve">ID</t>
  </si>
  <si>
    <t xml:space="preserve">Layer</t>
  </si>
  <si>
    <t xml:space="preserve">Target</t>
  </si>
  <si>
    <t xml:space="preserve">Scenario</t>
  </si>
  <si>
    <t xml:space="preserve">Hypothesis</t>
  </si>
  <si>
    <t xml:space="preserve">Why (evidence-cited)</t>
  </si>
  <si>
    <t xml:space="preserve">Tooling</t>
  </si>
  <si>
    <t xml:space="preserve">Journeys</t>
  </si>
  <si>
    <t xml:space="preserve">Likelihood (1-5)</t>
  </si>
  <si>
    <t xml:space="preserve">Severity (1-5)</t>
  </si>
  <si>
    <t xml:space="preserve">Priority</t>
  </si>
  <si>
    <t xml:space="preserve">Likelihood Tier</t>
  </si>
  <si>
    <t xml:space="preserve">Risk Rating</t>
  </si>
  <si>
    <t xml:space="preserve">Wave</t>
  </si>
  <si>
    <t xml:space="preserve">Status</t>
  </si>
  <si>
    <t xml:space="preserve">GEN-DWN-05</t>
  </si>
  <si>
    <t xml:space="preserve">Downstream</t>
  </si>
  <si>
    <t xml:space="preserve">cbs-subledger-mgmt -&gt; core-subledger-data-consumer (kafka)</t>
  </si>
  <si>
    <t xml:space="preserve">CONFIRMED DEFECT — regression-guard scenario (post-fix)</t>
  </si>
  <si>
    <t xml:space="preserve">(Post-fix) the failure mode that earned the red grade can no longer silently lose/corrupt data.</t>
  </si>
  <si>
    <t xml:space="preserve">Journey evidence: edge grade=red. The @KafkaListener body has a nested try { ... saveSubledgerData(subledger) ... } catch(IllegalArgumentException) catch(Exception) that only log.error()s and does NOT rethrow. So a SubledgerRedisProcessingException thrown by the Redis save is swallowed inside the listener: the DefaultErrorHandler-based retry/backoff + non-retryable classification only ever engages for deserialization poison pills,</t>
  </si>
  <si>
    <t xml:space="preserve">File defect NOW; chaos scenario runs only after fix</t>
  </si>
  <si>
    <t xml:space="preserve">01-account-origination</t>
  </si>
  <si>
    <t xml:space="preserve">CONFIRMED_DEFECT — fix first</t>
  </si>
  <si>
    <t xml:space="preserve">GEN-APP-01</t>
  </si>
  <si>
    <t xml:space="preserve">App</t>
  </si>
  <si>
    <t xml:space="preserve">account-locator-service</t>
  </si>
  <si>
    <t xml:space="preserve">Missing circuit breaker — gap finding + post-fix trip test</t>
  </si>
  <si>
    <t xml:space="preserve">(Post-fix) breaker opens at configured threshold and fallback engages. Until then this is a CONFIGURATION GAP, not a runnable experiment.</t>
  </si>
  <si>
    <t xml:space="preserve">App evidence (scan card): circuit_breaker="none"; retry instances ['GetCustomerInquiry', 'SaveOrUpdateDatabaseInquiry', 'DeleteDatabaseInquiry'] run 3 attempts with NO breaker above them — retries without a breaker amplify a struggling dependency.</t>
  </si>
  <si>
    <t xml:space="preserve">Code fix first; then Toxiproxy trip test</t>
  </si>
  <si>
    <t xml:space="preserve">BLOCKED — config gap</t>
  </si>
  <si>
    <t xml:space="preserve">GEN-DWN-01</t>
  </si>
  <si>
    <t xml:space="preserve">core-subledger-management -&gt; cbs-subledger-mgmt</t>
  </si>
  <si>
    <t xml:space="preserve">Dependency slow-but-alive at the coded timeout boundary</t>
  </si>
  <si>
    <t xml:space="preserve">Latency just under/over connect=5000ms / read=5000ms fires the timeout as configured; retry (resilience4j @Retry (programmatic) createSubledgerInCbsRetry / deleteSubledgerRetry max-attempts=3 wait=500ms mult=2.0 - 5xx/transient only) then fallback (performHardDeleteAsync (local row cleanup) + rethrow; rollbackSubledger on failure marks PENDING_DELETE) engage in that order.</t>
  </si>
  <si>
    <t xml:space="preserve">Edge evidence: timeout={'connect_ms': 5000, 'read_ms': 5000}; retry=resilience4j @Retry (programmatic) createSubledgerInCbsRetry / deleteSubledgerRetry max-attempts=3 wait=500ms mult=2.0 - 5xx/transient only; fallback=performHardDeleteAsync (local row cleanup) + rethrow; rollbackSubledger on failure marks PENDING_DELETE — real coded values, not placeholders. Intent: Create 3 subledgers in CBS</t>
  </si>
  <si>
    <t xml:space="preserve">Toxiproxy latency injection</t>
  </si>
  <si>
    <t xml:space="preserve">Proposed</t>
  </si>
  <si>
    <t xml:space="preserve">GEN-DWN-02</t>
  </si>
  <si>
    <t xml:space="preserve">core-subledger-management -&gt; rdhp</t>
  </si>
  <si>
    <t xml:space="preserve">Latency just under/over connect=1500ms / read=3000ms fires the timeout as configured; retry (resilience4j @Retry (programmatic) getRdhpSanctionedWordsRetry max-attempts=3 wait=500ms mult=2.0) then fallback (FAIL-SAFE: any exception -&gt; Collections.emptySet() (sanctioned-word validation skipped, does not block customer op); @Cacheable rdhp-sanctioned-words-cache 24h) engage in that order.</t>
  </si>
  <si>
    <t xml:space="preserve">Edge evidence: timeout={'connect_ms': 1500, 'read_ms': 3000}; retry=resilience4j @Retry (programmatic) getRdhpSanctionedWordsRetry max-attempts=3 wait=500ms mult=2.0; fallback=FAIL-SAFE: any exception -&gt; Collections.emptySet() (sanctioned-word validation skipped, does not block customer op); @Cacheable rdhp-sanctioned-words-cache 24h — real coded values, not placeholders. Intent: OFAC sanctioned-words check</t>
  </si>
  <si>
    <t xml:space="preserve">GEN-DWN-03</t>
  </si>
  <si>
    <t xml:space="preserve">core-subledger-management -&gt; merchant-category-reference-data-service</t>
  </si>
  <si>
    <t xml:space="preserve">Latency just under/over connect=3000ms / read=3000ms fires the timeout as configured; retry (resilience4j @Retry (programmatic) getSpendSaveCategoriesReferenceDataRetry max-attempts=3 wait=500ms mult=2.0 - 5xx/transient only) then fallback (none - rethrows ExternalServiceException on failure) engage in that order.</t>
  </si>
  <si>
    <t xml:space="preserve">Edge evidence: timeout={'connect_ms': 3000, 'read_ms': 3000}; retry=resilience4j @Retry (programmatic) getSpendSaveCategoriesReferenceDataRetry max-attempts=3 wait=500ms mult=2.0 - 5xx/transient only; fallback=none - rethrows ExternalServiceException on failure — real coded values, not placeholders. Intent: Spend-save categories</t>
  </si>
  <si>
    <t xml:space="preserve">GEN-DWN-04</t>
  </si>
  <si>
    <t xml:space="preserve">Hard dependency (no fallback) — outage propagation test</t>
  </si>
  <si>
    <t xml:space="preserve">A sustained dependency outage fails the journey step FAST and VISIBLY (no retry pile-up), and recovery is immediate on restore.</t>
  </si>
  <si>
    <t xml:space="preserve">Edge evidence: fallback="none - rethrows ExternalServiceException on failure" — the caller rethrows on failure; this step hard-fails when the dependency is down. Intent: Spend-save categories</t>
  </si>
  <si>
    <t xml:space="preserve">Toxiproxy 5xx / connection refuse</t>
  </si>
  <si>
    <t xml:space="preserve">GEN-DWN-06</t>
  </si>
  <si>
    <t xml:space="preserve">core-account-management -&gt; cbs-account-mgmt</t>
  </si>
  <si>
    <t xml:space="preserve">Latency just under/over connect=7000ms / read=7000ms fires the timeout as configured; retry (CreateCBSAccount max-attempts=2 wait=500ms exp-backoff x2) then fallback (createCBSAccountFallback) engage in that order.</t>
  </si>
  <si>
    <t xml:space="preserve">Edge evidence: timeout={'connect_ms': 7000, 'read_ms': 7000}; retry=CreateCBSAccount max-attempts=2 wait=500ms exp-backoff x2; fallback=createCBSAccountFallback; idempotency=request-id (cbs-idempotency, postgres) — real coded values, not placeholders. Intent: Purge CBS account (PurgeCBSAccount) on close-on-error</t>
  </si>
  <si>
    <t xml:space="preserve">GEN-DWN-07</t>
  </si>
  <si>
    <t xml:space="preserve">core-account-management -&gt; account-feature-management</t>
  </si>
  <si>
    <t xml:space="preserve">Latency just under/over connect=30000ms / read=30000ms fires the timeout as configured; retry (CreateAccountFeature / GetAccountFeature / UpdateAccountFeature / DeleteAccountFeature max-attempts=2) then fallback (createAccountFeatureFallback (+ get/update/delete fallbacks)) engage in that order.</t>
  </si>
  <si>
    <t xml:space="preserve">Edge evidence: timeout={'connect_ms': 30000, 'read_ms': 30000}; retry=CreateAccountFeature / GetAccountFeature / UpdateAccountFeature / DeleteAccountFeature max-attempts=2; fallback=createAccountFeatureFallback (+ get/update/delete fallbacks) — real coded values, not placeholders. Intent: Delete account feature</t>
  </si>
  <si>
    <t xml:space="preserve">GEN-DWN-08</t>
  </si>
  <si>
    <t xml:space="preserve">core-account-management -&gt; account-locator-service</t>
  </si>
  <si>
    <t xml:space="preserve">Latency just under/over connect=7000ms / read=7000ms fires the timeout as configured; retry (CreateAccountLocator / UpdateAccountLocator / DeleteAccountLocator max-attempts=2 wait=500ms) then fallback (createAccountLocatorFallback / updateAccountLocatorFallback / deleteAccountLocatorFallback) engage in that order.</t>
  </si>
  <si>
    <t xml:space="preserve">Edge evidence: timeout={'connect_ms': 7000, 'read_ms': 7000}; retry=CreateAccountLocator / UpdateAccountLocator / DeleteAccountLocator max-attempts=2 wait=500ms; fallback=createAccountLocatorFallback / updateAccountLocatorFallback / deleteAccountLocatorFallback; idempotency=request-id (cbs-idempotency, postgres) — real coded values, not placeholders. Intent: Delete locator entry</t>
  </si>
  <si>
    <t xml:space="preserve">GEN-INF-01</t>
  </si>
  <si>
    <t xml:space="preserve">Infra</t>
  </si>
  <si>
    <t xml:space="preserve">account-feature-management</t>
  </si>
  <si>
    <t xml:space="preserve">Single-task kill — N=1 replica exposure</t>
  </si>
  <si>
    <t xml:space="preserve">ECS replaces the task within SLO; but with replica_count=1 (and autoscale_min=1), EVERY task recycle is a brief 100% capacity loss for this service in-region. Measure the real customer-visible window.</t>
  </si>
  <si>
    <t xml:space="preserve">Infra evidence (journey node survivability): replica_count=1, autoscale_min=1, autoscale_max=3 — a deploy, AZ event, or OOM kill momentarily zeroes this service's capacity.</t>
  </si>
  <si>
    <t xml:space="preserve">FIS aws:ecs:stop-task</t>
  </si>
  <si>
    <t xml:space="preserve">GEN-INF-14</t>
  </si>
  <si>
    <t xml:space="preserve">core-subledger-management</t>
  </si>
  <si>
    <t xml:space="preserve">GEN-INF-27</t>
  </si>
  <si>
    <t xml:space="preserve">core-balance-enrichment</t>
  </si>
  <si>
    <t xml:space="preserve">GEN-INF-43</t>
  </si>
  <si>
    <t xml:space="preserve">Infra evidence (journey node survivability): replica_count=1, autoscale_min=1, autoscale_max=3 — a deploy, AZ event, or OOM kill momentarily zeroes this service's capacity. CONFLICT: als-infra-components-by-env.md says autoscaling min 3 — reconcile before running.</t>
  </si>
  <si>
    <t xml:space="preserve">NEEDS_ASSESSMENT — conflicting replica evidence</t>
  </si>
  <si>
    <t xml:space="preserve">GEN-INF-60</t>
  </si>
  <si>
    <t xml:space="preserve">core-reference-management</t>
  </si>
  <si>
    <t xml:space="preserve">GEN-INF-71</t>
  </si>
  <si>
    <t xml:space="preserve">core-subledger-data-consumer</t>
  </si>
  <si>
    <t xml:space="preserve">GEN-INF-80</t>
  </si>
  <si>
    <t xml:space="preserve">merchant-category-reference-data-service</t>
  </si>
  <si>
    <t xml:space="preserve">Infra evidence (journey node survivability): replica_count=1, autoscale_min=1, autoscale_max=None — a deploy, AZ event, or OOM kill momentarily zeroes this service's capacity.</t>
  </si>
  <si>
    <t xml:space="preserve">GEN-INF-91</t>
  </si>
  <si>
    <t xml:space="preserve">core-account-management</t>
  </si>
  <si>
    <t xml:space="preserve">GEN-INF-02</t>
  </si>
  <si>
    <t xml:space="preserve">Aurora writer failover (in-region) under load</t>
  </si>
  <si>
    <t xml:space="preserve">Connections re-establish within pool timeout budget; journey-level error window bounded.</t>
  </si>
  <si>
    <t xml:space="preserve">Infra evidence: global_cluster=true, secondary_regions=['us-east-2'], deletion_protection=True, backup_retention_days=35.</t>
  </si>
  <si>
    <t xml:space="preserve">FIS / failover-db-cluster</t>
  </si>
  <si>
    <t xml:space="preserve">GEN-INF-07</t>
  </si>
  <si>
    <t xml:space="preserve">[kafka-mbus] Kafka broker (MBUS) unreachable</t>
  </si>
  <si>
    <t xml:space="preserve">Producers buffer without unbounded growth; consumers idle without crash-loop; no-loss catch-up on restore.</t>
  </si>
  <si>
    <t xml:space="preserve">Component: kafka-mbus on account-feature-management. Declared in components.json (owner-provided) — will be confirmed/replaced by the infra-md file or infra repo scan.</t>
  </si>
  <si>
    <t xml:space="preserve">Network blackhole to MBUS (PERF)</t>
  </si>
  <si>
    <t xml:space="preserve">DECLARED — confirm with infra scan</t>
  </si>
  <si>
    <t xml:space="preserve">GEN-INF-15</t>
  </si>
  <si>
    <t xml:space="preserve">GEN-INF-18</t>
  </si>
  <si>
    <t xml:space="preserve">Component: kafka-mbus on core-subledger-management. Declared in components.json (owner-provided) — will be confirmed/replaced by the infra-md file or infra repo scan.</t>
  </si>
  <si>
    <t xml:space="preserve">GEN-INF-28</t>
  </si>
  <si>
    <t xml:space="preserve">Infra evidence: global_cluster=true, secondary_regions=['us-east-2'], deletion_protection=None, backup_retention_days=None.</t>
  </si>
  <si>
    <t xml:space="preserve">GEN-INF-34</t>
  </si>
  <si>
    <t xml:space="preserve">Component: kafka-mbus on core-balance-enrichment. Declared in components.json (owner-provided) — will be confirmed/replaced by the infra-md file or infra repo scan.</t>
  </si>
  <si>
    <t xml:space="preserve">GEN-INF-44</t>
  </si>
  <si>
    <t xml:space="preserve">Infra evidence: global_cluster=true, secondary_regions=['us-east-2'], deletion_protection=True, backup_retention_days=None.</t>
  </si>
  <si>
    <t xml:space="preserve">GEN-INF-51</t>
  </si>
  <si>
    <t xml:space="preserve">Component: kafka-mbus on account-locator-service. Declared in als-infra-components-by-env.md (per-env, SHA-pinned) — evidence-grade component declaration.</t>
  </si>
  <si>
    <t xml:space="preserve">Proposed (evidence-confirmed — infra-md)</t>
  </si>
  <si>
    <t xml:space="preserve">GEN-INF-61</t>
  </si>
  <si>
    <t xml:space="preserve">GEN-INF-72</t>
  </si>
  <si>
    <t xml:space="preserve">GEN-INF-77</t>
  </si>
  <si>
    <t xml:space="preserve">Component: kafka-mbus on core-subledger-data-consumer. Declared in components.json (owner-provided) — will be confirmed/replaced by the infra-md file or infra repo scan.</t>
  </si>
  <si>
    <t xml:space="preserve">GEN-INF-81</t>
  </si>
  <si>
    <t xml:space="preserve">GEN-INF-83</t>
  </si>
  <si>
    <t xml:space="preserve">Survivability-gap validation (graded YELLOW)</t>
  </si>
  <si>
    <t xml:space="preserve">The specific infra attribute that caused the yellow grade (e.g. autoscale_max unset) degrades gracefully under load spike / node loss.</t>
  </si>
  <si>
    <t xml:space="preserve">Infra evidence: survivability_grade=yellow — e.g. autoscale_max=None. Fix or accept explicitly; this scenario validates actual behavior at the gap.</t>
  </si>
  <si>
    <t xml:space="preserve">Load + FIS</t>
  </si>
  <si>
    <t xml:space="preserve">NEEDS_ASSESSMENT</t>
  </si>
  <si>
    <t xml:space="preserve">GEN-INF-92</t>
  </si>
  <si>
    <t xml:space="preserve">GEN-INF-95</t>
  </si>
  <si>
    <t xml:space="preserve">Component: kafka-mbus on core-account-management. Declared in components.json (owner-provided) — will be confirmed/replaced by the infra-md file or infra repo scan.</t>
  </si>
  <si>
    <t xml:space="preserve">GEN-INF-05</t>
  </si>
  <si>
    <t xml:space="preserve">[elasticache] ElastiCache primary failover</t>
  </si>
  <si>
    <t xml:space="preserve">Clients reconnect within seconds; brief blip absorbed; no correctness impact.</t>
  </si>
  <si>
    <t xml:space="preserve">Component: elasticache on account-feature-management. Declared in components.json (owner-provided) — will be confirmed/replaced by the infra-md file or infra repo scan.</t>
  </si>
  <si>
    <t xml:space="preserve">FIS / console failover</t>
  </si>
  <si>
    <t xml:space="preserve">GEN-INF-09</t>
  </si>
  <si>
    <t xml:space="preserve">[api-gateway] API Gateway throttle breach</t>
  </si>
  <si>
    <t xml:space="preserve">Clean 429s; callers back off instead of retry-hammering.</t>
  </si>
  <si>
    <t xml:space="preserve">Component: api-gateway on account-feature-management. Declared in components.json (owner-provided) — will be confirmed/replaced by the infra-md file or infra repo scan.</t>
  </si>
  <si>
    <t xml:space="preserve">Load past configured limits</t>
  </si>
  <si>
    <t xml:space="preserve">GEN-INF-11</t>
  </si>
  <si>
    <t xml:space="preserve">[alb] ALB deregistration/drain during deploy under load</t>
  </si>
  <si>
    <t xml:space="preserve">Zero in-flight kills: drain timeout covers p99 request duration.</t>
  </si>
  <si>
    <t xml:space="preserve">Component: alb on account-feature-management. Declared in components.json (owner-provided) — will be confirmed/replaced by the infra-md file or infra repo scan.</t>
  </si>
  <si>
    <t xml:space="preserve">Deploy under load</t>
  </si>
  <si>
    <t xml:space="preserve">GEN-INF-20</t>
  </si>
  <si>
    <t xml:space="preserve">Component: api-gateway on core-subledger-management. Declared in components.json (owner-provided) — will be confirmed/replaced by the infra-md file or infra repo scan.</t>
  </si>
  <si>
    <t xml:space="preserve">GEN-INF-22</t>
  </si>
  <si>
    <t xml:space="preserve">Component: alb on core-subledger-management. Declared in components.json (owner-provided) — will be confirmed/replaced by the infra-md file or infra repo scan.</t>
  </si>
  <si>
    <t xml:space="preserve">GEN-INF-32</t>
  </si>
  <si>
    <t xml:space="preserve">Component: elasticache on core-balance-enrichment. Declared in components.json (owner-provided) — will be confirmed/replaced by the infra-md file or infra repo scan.</t>
  </si>
  <si>
    <t xml:space="preserve">GEN-INF-36</t>
  </si>
  <si>
    <t xml:space="preserve">Component: api-gateway on core-balance-enrichment. Declared in components.json (owner-provided) — will be confirmed/replaced by the infra-md file or infra repo scan.</t>
  </si>
  <si>
    <t xml:space="preserve">GEN-INF-38</t>
  </si>
  <si>
    <t xml:space="preserve">Component: alb on core-balance-enrichment. Declared in components.json (owner-provided) — will be confirmed/replaced by the infra-md file or infra repo scan.</t>
  </si>
  <si>
    <t xml:space="preserve">GEN-INF-46</t>
  </si>
  <si>
    <t xml:space="preserve">Component: alb on account-locator-service. Declared in als-infra-components-by-env.md (per-env, SHA-pinned) — evidence-grade component declaration. Real value: appalb idle 370s.</t>
  </si>
  <si>
    <t xml:space="preserve">GEN-INF-47</t>
  </si>
  <si>
    <t xml:space="preserve">Component: api-gateway on account-locator-service. Declared in als-infra-components-by-env.md (per-env, SHA-pinned) — evidence-grade component declaration.</t>
  </si>
  <si>
    <t xml:space="preserve">GEN-INF-49</t>
  </si>
  <si>
    <t xml:space="preserve">Component: elasticache on account-locator-service. Declared in als-infra-components-by-env.md (per-env, SHA-pinned) — evidence-grade component declaration.</t>
  </si>
  <si>
    <t xml:space="preserve">GEN-APP-02</t>
  </si>
  <si>
    <t xml:space="preserve">account-locator-service -&gt; core_account-servicing-account_boarding-account_locator_created-c001</t>
  </si>
  <si>
    <t xml:space="preserve">Outbox publish with unset delivery timeout — broker stall test</t>
  </si>
  <si>
    <t xml:space="preserve">With delivery_timeout unset, a broker stall causes bounded outbox backlog (poller retries), not unbounded memory/thread growth in the publisher.</t>
  </si>
  <si>
    <t xml:space="preserve">App evidence: producer pattern=transactional-outbox, delivery_timeout=unset on topic core_account-servicing-account_boarding-account_locator_created-c001 — library default applies (version-dependent; NOT assumed here, verify).</t>
  </si>
  <si>
    <t xml:space="preserve">Broker blackhole (PERF) + outbox depth observation</t>
  </si>
  <si>
    <t xml:space="preserve">GEN-APP-03</t>
  </si>
  <si>
    <t xml:space="preserve">account-locator-service -&gt; core_account-servicing-account_boarding-account_locator_updated-c001</t>
  </si>
  <si>
    <t xml:space="preserve">App evidence: producer pattern=transactional-outbox, delivery_timeout=unset on topic core_account-servicing-account_boarding-account_locator_updated-c001 — library default applies (version-dependent; NOT assumed here, verify).</t>
  </si>
  <si>
    <t xml:space="preserve">GEN-APP-04</t>
  </si>
  <si>
    <t xml:space="preserve">account-locator-service -&gt; core_account-servicing-account_boarding-customer_locator_created-c001</t>
  </si>
  <si>
    <t xml:space="preserve">App evidence: producer pattern=transactional-outbox, delivery_timeout=unset on topic core_account-servicing-account_boarding-customer_locator_created-c001 — library default applies (version-dependent; NOT assumed here, verify).</t>
  </si>
  <si>
    <t xml:space="preserve">GEN-APP-05</t>
  </si>
  <si>
    <t xml:space="preserve">account-locator-service -&gt; core_account-servicing-account_boarding-customer_locator_updated-c001</t>
  </si>
  <si>
    <t xml:space="preserve">App evidence: producer pattern=transactional-outbox, delivery_timeout=unset on topic core_account-servicing-account_boarding-customer_locator_updated-c001 — library default applies (version-dependent; NOT assumed here, verify).</t>
  </si>
  <si>
    <t xml:space="preserve">GEN-APP-06</t>
  </si>
  <si>
    <t xml:space="preserve">Duplicate request outside idempotency window (PT15M)</t>
  </si>
  <si>
    <t xml:space="preserve">A replayed request-id 15+ minutes later is treated as intentionally-new — confirm that is designed behavior, not an accidental gap.</t>
  </si>
  <si>
    <t xml:space="preserve">App evidence: server_idempotency="request-id (cbs-idempotency, postgres, retention PT15M)" on inbound endpoint(s) — the 15-minute retention is a real coded number; behavior just past it is untested.</t>
  </si>
  <si>
    <t xml:space="preserve">Replay harness</t>
  </si>
  <si>
    <t xml:space="preserve">GEN-INF-64</t>
  </si>
  <si>
    <t xml:space="preserve">Component: elasticache on core-reference-management. Declared in components.json (owner-provided) — will be confirmed/replaced by the infra-md file or infra repo scan.</t>
  </si>
  <si>
    <t xml:space="preserve">GEN-INF-66</t>
  </si>
  <si>
    <t xml:space="preserve">Component: api-gateway on core-reference-management. Declared in components.json (owner-provided) — will be confirmed/replaced by the infra-md file or infra repo scan.</t>
  </si>
  <si>
    <t xml:space="preserve">GEN-INF-68</t>
  </si>
  <si>
    <t xml:space="preserve">Component: alb on core-reference-management. Declared in components.json (owner-provided) — will be confirmed/replaced by the infra-md file or infra repo scan.</t>
  </si>
  <si>
    <t xml:space="preserve">GEN-INF-75</t>
  </si>
  <si>
    <t xml:space="preserve">Component: elasticache on core-subledger-data-consumer. Declared in components.json (owner-provided) — will be confirmed/replaced by the infra-md file or infra repo scan.</t>
  </si>
  <si>
    <t xml:space="preserve">GEN-INF-86</t>
  </si>
  <si>
    <t xml:space="preserve">Component: api-gateway on merchant-category-reference-data-service. Declared in components.json (owner-provided) — will be confirmed/replaced by the infra-md file or infra repo scan.</t>
  </si>
  <si>
    <t xml:space="preserve">GEN-INF-88</t>
  </si>
  <si>
    <t xml:space="preserve">Component: alb on merchant-category-reference-data-service. Declared in components.json (owner-provided) — will be confirmed/replaced by the infra-md file or infra repo scan.</t>
  </si>
  <si>
    <t xml:space="preserve">GEN-INF-97</t>
  </si>
  <si>
    <t xml:space="preserve">Component: api-gateway on core-account-management. Declared in components.json (owner-provided) — will be confirmed/replaced by the infra-md file or infra repo scan.</t>
  </si>
  <si>
    <t xml:space="preserve">GEN-INF-99</t>
  </si>
  <si>
    <t xml:space="preserve">Component: alb on core-account-management. Declared in components.json (owner-provided) — will be confirmed/replaced by the infra-md file or infra repo scan.</t>
  </si>
  <si>
    <t xml:space="preserve">GEN-INF-04</t>
  </si>
  <si>
    <t xml:space="preserve">[ecs-fargate] AZ impairment — multi-AZ absorption</t>
  </si>
  <si>
    <t xml:space="preserve">Losing one AZ leaves the service above its capacity floor; no single-AZ SPOF.</t>
  </si>
  <si>
    <t xml:space="preserve">Component: ecs-fargate on account-feature-management. Declared in components.json (owner-provided) — will be confirmed/replaced by the infra-md file or infra repo scan.</t>
  </si>
  <si>
    <t xml:space="preserve">FIS network blackhole / NACL (one AZ)</t>
  </si>
  <si>
    <t xml:space="preserve">GEN-INF-06</t>
  </si>
  <si>
    <t xml:space="preserve">[elasticache] Cache fully unavailable — degrade to database</t>
  </si>
  <si>
    <t xml:space="preserve">Service serves correct (slower) responses from the DB path; DB absorbs the amplified load.</t>
  </si>
  <si>
    <t xml:space="preserve">Security-group deny on Redis (PERF)</t>
  </si>
  <si>
    <t xml:space="preserve">GEN-INF-08</t>
  </si>
  <si>
    <t xml:space="preserve">[kafka-mbus] IDP token failure (Kafka OAUTHBEARER re-auth)</t>
  </si>
  <si>
    <t xml:space="preserve">Sessions survive to re-auth; failed re-auth backs off sanely; failure signature distinct from broker loss.</t>
  </si>
  <si>
    <t xml:space="preserve">IDP path block (PERF)</t>
  </si>
  <si>
    <t xml:space="preserve">GEN-INF-12</t>
  </si>
  <si>
    <t xml:space="preserve">[route53] Route 53 failover + client re-resolution vs TTL</t>
  </si>
  <si>
    <t xml:space="preserve">Clients re-resolve within the TTL budget; no stragglers pinned to the failed region.</t>
  </si>
  <si>
    <t xml:space="preserve">Component: route53 on account-feature-management. Declared in components.json (owner-provided) — will be confirmed/replaced by the infra-md file or infra repo scan.</t>
  </si>
  <si>
    <t xml:space="preserve">Drill + resolution measurement</t>
  </si>
  <si>
    <t xml:space="preserve">GEN-INF-13</t>
  </si>
  <si>
    <t xml:space="preserve">[secrets-manager] Secrets retrieval outage at task recycle</t>
  </si>
  <si>
    <t xml:space="preserve">Running tasks unaffected; recycled tasks fail startup fast and loud — no silent degraded serving.</t>
  </si>
  <si>
    <t xml:space="preserve">Component: secrets-manager on account-feature-management. Declared in components.json (owner-provided) — will be confirmed/replaced by the infra-md file or infra repo scan.</t>
  </si>
  <si>
    <t xml:space="preserve">Deny + forced recycle (PERF)</t>
  </si>
  <si>
    <t xml:space="preserve">GEN-INF-17</t>
  </si>
  <si>
    <t xml:space="preserve">Component: ecs-fargate on core-subledger-management. Declared in components.json (owner-provided) — will be confirmed/replaced by the infra-md file or infra repo scan.</t>
  </si>
  <si>
    <t xml:space="preserve">GEN-INF-19</t>
  </si>
  <si>
    <t xml:space="preserve">GEN-INF-23</t>
  </si>
  <si>
    <t xml:space="preserve">Component: route53 on core-subledger-management. Declared in components.json (owner-provided) — will be confirmed/replaced by the infra-md file or infra repo scan.</t>
  </si>
  <si>
    <t xml:space="preserve">GEN-INF-24</t>
  </si>
  <si>
    <t xml:space="preserve">Component: secrets-manager on core-subledger-management. Declared in components.json (owner-provided) — will be confirmed/replaced by the infra-md file or infra repo scan.</t>
  </si>
  <si>
    <t xml:space="preserve">GEN-INF-25</t>
  </si>
  <si>
    <t xml:space="preserve">[kms] KMS key access denial</t>
  </si>
  <si>
    <t xml:space="preserve">Encrypt/decrypt fails closed with an explicit error — no silent drop, no plaintext fallback; resumes on restore.</t>
  </si>
  <si>
    <t xml:space="preserve">Component: kms on core-subledger-management. Declared in components.json (owner-provided) — will be confirmed/replaced by the infra-md file or infra repo scan.</t>
  </si>
  <si>
    <t xml:space="preserve">Key-policy deny (PERF)</t>
  </si>
  <si>
    <t xml:space="preserve">GEN-INF-26</t>
  </si>
  <si>
    <t xml:space="preserve">[kms] Topic-encryption key denial mid-publish</t>
  </si>
  <si>
    <t xml:space="preserve">Encrypt failure on publish fails closed and is alarmed; outbox retains the event; no plaintext fallback.</t>
  </si>
  <si>
    <t xml:space="preserve">Journey-edge evidence: this node's Kafka producer(s) declare encryption=app2.</t>
  </si>
  <si>
    <t xml:space="preserve">KMS key-policy deny (PERF)</t>
  </si>
  <si>
    <t xml:space="preserve">Proposed (evidence-confirmed)</t>
  </si>
  <si>
    <t xml:space="preserve">GEN-INF-30</t>
  </si>
  <si>
    <t xml:space="preserve">Component: ecs-fargate on core-balance-enrichment. Declared in components.json (owner-provided) — will be confirmed/replaced by the infra-md file or infra repo scan.</t>
  </si>
  <si>
    <t xml:space="preserve">GEN-INF-31</t>
  </si>
  <si>
    <t xml:space="preserve">[rds-proxy] RDS Proxy endpoint unavailability</t>
  </si>
  <si>
    <t xml:space="preserve">Service fails fast per timeout chain (no hang); recovers on restore without restart.</t>
  </si>
  <si>
    <t xml:space="preserve">Component: rds-proxy on core-balance-enrichment. Declared in components.json (owner-provided) — will be confirmed/replaced by the infra-md file or infra repo scan.</t>
  </si>
  <si>
    <t xml:space="preserve">Network deny on proxy endpoint (PERF)</t>
  </si>
  <si>
    <t xml:space="preserve">GEN-INF-33</t>
  </si>
  <si>
    <t xml:space="preserve">GEN-INF-35</t>
  </si>
  <si>
    <t xml:space="preserve">GEN-INF-39</t>
  </si>
  <si>
    <t xml:space="preserve">Component: secrets-manager on core-balance-enrichment. Declared in components.json (owner-provided) — will be confirmed/replaced by the infra-md file or infra repo scan.</t>
  </si>
  <si>
    <t xml:space="preserve">GEN-INF-41</t>
  </si>
  <si>
    <t xml:space="preserve">Component: kms on core-balance-enrichment. Declared in components.json (owner-provided) — will be confirmed/replaced by the infra-md file or infra repo scan.</t>
  </si>
  <si>
    <t xml:space="preserve">GEN-INF-42</t>
  </si>
  <si>
    <t xml:space="preserve">Journey-edge evidence: this node's Kafka producer(s) declare encryption=app2-vkms.</t>
  </si>
  <si>
    <t xml:space="preserve">GEN-INF-48</t>
  </si>
  <si>
    <t xml:space="preserve">Component: ecs-fargate on account-locator-service. Declared in als-infra-components-by-env.md (per-env, SHA-pinned) — evidence-grade component declaration. Real values: PROD 3 AZs, PERF 2 AZs — see ENV_DELTA gap.</t>
  </si>
  <si>
    <t xml:space="preserve">GEN-INF-50</t>
  </si>
  <si>
    <t xml:space="preserve">GEN-INF-52</t>
  </si>
  <si>
    <t xml:space="preserve">GEN-INF-53</t>
  </si>
  <si>
    <t xml:space="preserve">Component: kms on account-locator-service. Declared in als-infra-components-by-env.md (per-env, SHA-pinned) — evidence-grade component declaration.</t>
  </si>
  <si>
    <t xml:space="preserve">GEN-INF-55</t>
  </si>
  <si>
    <t xml:space="preserve">[route53] Route 53 failover is MANUAL (simple CNAME, not health-based)</t>
  </si>
  <si>
    <t xml:space="preserve">There is NO automatic DNS failover: the record is a simple CNAME with no health check. Regional failover requires a manual DNS change. Drill the manual runbook end-to-end and measure real time-to-shift including TTL expiry.</t>
  </si>
  <si>
    <t xml:space="preserve">Component: route53 on account-locator-service. Declared in als-infra-components-by-env.md (per-env, SHA-pinned) — evidence-grade component declaration. Evidence: 'Route53 (SIMPLE CNAME, not health-based)'.</t>
  </si>
  <si>
    <t xml:space="preserve">GEN-INF-56</t>
  </si>
  <si>
    <t xml:space="preserve">[s3] S3 bucket unavailable / access denied</t>
  </si>
  <si>
    <t xml:space="preserve">Reads/writes fail visibly and resume idempotently on restore; no silent skips.</t>
  </si>
  <si>
    <t xml:space="preserve">Component: s3 on account-locator-service. Declared in als-infra-components-by-env.md (per-env, SHA-pinned) — evidence-grade component declaration.</t>
  </si>
  <si>
    <t xml:space="preserve">Bucket policy deny (PERF)</t>
  </si>
  <si>
    <t xml:space="preserve">GEN-INF-57</t>
  </si>
  <si>
    <t xml:space="preserve">Component: secrets-manager on account-locator-service. Declared in als-infra-components-by-env.md (per-env, SHA-pinned) — evidence-grade component declaration.</t>
  </si>
  <si>
    <t xml:space="preserve">GEN-INF-59</t>
  </si>
  <si>
    <t xml:space="preserve">GEN-INF-63</t>
  </si>
  <si>
    <t xml:space="preserve">Component: ecs-fargate on core-reference-management. Declared in components.json (owner-provided) — will be confirmed/replaced by the infra-md file or infra repo scan.</t>
  </si>
  <si>
    <t xml:space="preserve">GEN-INF-65</t>
  </si>
  <si>
    <t xml:space="preserve">GEN-INF-69</t>
  </si>
  <si>
    <t xml:space="preserve">Component: route53 on core-reference-management. Declared in components.json (owner-provided) — will be confirmed/replaced by the infra-md file or infra repo scan.</t>
  </si>
  <si>
    <t xml:space="preserve">GEN-INF-70</t>
  </si>
  <si>
    <t xml:space="preserve">Component: secrets-manager on core-reference-management. Declared in components.json (owner-provided) — will be confirmed/replaced by the infra-md file or infra repo scan.</t>
  </si>
  <si>
    <t xml:space="preserve">GEN-INF-74</t>
  </si>
  <si>
    <t xml:space="preserve">Component: ecs-fargate on core-subledger-data-consumer. Declared in components.json (owner-provided) — will be confirmed/replaced by the infra-md file or infra repo scan.</t>
  </si>
  <si>
    <t xml:space="preserve">GEN-INF-76</t>
  </si>
  <si>
    <t xml:space="preserve">GEN-INF-78</t>
  </si>
  <si>
    <t xml:space="preserve">GEN-INF-79</t>
  </si>
  <si>
    <t xml:space="preserve">Component: secrets-manager on core-subledger-data-consumer. Declared in components.json (owner-provided) — will be confirmed/replaced by the infra-md file or infra repo scan.</t>
  </si>
  <si>
    <t xml:space="preserve">GEN-INF-84</t>
  </si>
  <si>
    <t xml:space="preserve">Component: ecs-fargate on merchant-category-reference-data-service. Declared in components.json (owner-provided) — will be confirmed/replaced by the infra-md file or infra repo scan.</t>
  </si>
  <si>
    <t xml:space="preserve">GEN-INF-85</t>
  </si>
  <si>
    <t xml:space="preserve">Component: s3 on merchant-category-reference-data-service. Declared in components.json (owner-provided) — will be confirmed/replaced by the infra-md file or infra repo scan.</t>
  </si>
  <si>
    <t xml:space="preserve">GEN-INF-89</t>
  </si>
  <si>
    <t xml:space="preserve">[eventbridge] Scheduler misfire / double-fire</t>
  </si>
  <si>
    <t xml:space="preserve">A missed window is detected; a double-fire causes no duplicate side-effects.</t>
  </si>
  <si>
    <t xml:space="preserve">Component: eventbridge on merchant-category-reference-data-service. Declared in components.json (owner-provided) — will be confirmed/replaced by the infra-md file or infra repo scan.</t>
  </si>
  <si>
    <t xml:space="preserve">Rule disable / duplicate trigger (PERF)</t>
  </si>
  <si>
    <t xml:space="preserve">GEN-INF-90</t>
  </si>
  <si>
    <t xml:space="preserve">Component: secrets-manager on merchant-category-reference-data-service. Declared in components.json (owner-provided) — will be confirmed/replaced by the infra-md file or infra repo scan.</t>
  </si>
  <si>
    <t xml:space="preserve">GEN-INF-94</t>
  </si>
  <si>
    <t xml:space="preserve">Component: ecs-fargate on core-account-management. Declared in components.json (owner-provided) — will be confirmed/replaced by the infra-md file or infra repo scan.</t>
  </si>
  <si>
    <t xml:space="preserve">GEN-INF-96</t>
  </si>
  <si>
    <t xml:space="preserve">GEN-INF-100</t>
  </si>
  <si>
    <t xml:space="preserve">Component: route53 on core-account-management. Declared in components.json (owner-provided) — will be confirmed/replaced by the infra-md file or infra repo scan.</t>
  </si>
  <si>
    <t xml:space="preserve">GEN-INF-101</t>
  </si>
  <si>
    <t xml:space="preserve">Component: secrets-manager on core-account-management. Declared in components.json (owner-provided) — will be confirmed/replaced by the infra-md file or infra repo scan.</t>
  </si>
  <si>
    <t xml:space="preserve">GEN-SAGA-01</t>
  </si>
  <si>
    <t xml:space="preserve">Saga</t>
  </si>
  <si>
    <t xml:space="preserve">01-account-origination rollback chain (7 steps)</t>
  </si>
  <si>
    <t xml:space="preserve">Compensation step failure mid-rollback</t>
  </si>
  <si>
    <t xml:space="preserve">Failing one rollback step leaves NO silent orphaned state: the saga retries to completion or raises an actionable stuck-state alert.</t>
  </si>
  <si>
    <t xml:space="preserve">Journey evidence: compensation chain R1: core-account-management-&gt;cbs-account-mgmt ; R2: core-account-management-&gt;account-feature-management ; R3: core-account-management-&gt;account-locator-service ; R4: core-account-management-&gt;core-reference-management ; R5: account-feature-management-&gt;core-subledger-management ; R6: core-subledger-management-&gt;au ; R7: arr-&gt;aoa. Each step has its own coded timeout/retry/fallback; nothing tests one FAILING mid-rollback.</t>
  </si>
  <si>
    <t xml:space="preserve">Toxiproxy on one rollback target during a drill</t>
  </si>
  <si>
    <t xml:space="preserve">GEN-SAGA-02</t>
  </si>
  <si>
    <t xml:space="preserve">01-account-origination rollback chain</t>
  </si>
  <si>
    <t xml:space="preserve">Partial-rollback operational visibility</t>
  </si>
  <si>
    <t xml:space="preserve">An operator can see per-step compensation completion from monitoring alone, without reading code.</t>
  </si>
  <si>
    <t xml:space="preserve">Same evidence base; this is the detection half of the saga risk.</t>
  </si>
  <si>
    <t xml:space="preserve">Drill + dashboard review</t>
  </si>
  <si>
    <t xml:space="preserve">GEN-INF-10</t>
  </si>
  <si>
    <t xml:space="preserve">[nlb] NLB idle-timeout behavior (silent drop)</t>
  </si>
  <si>
    <t xml:space="preserve">No legitimate call path approaches the NLB idle limit; keepalives prevent surprise resets.</t>
  </si>
  <si>
    <t xml:space="preserve">Component: nlb on account-feature-management. Declared in components.json (owner-provided) — will be confirmed/replaced by the infra-md file or infra repo scan.</t>
  </si>
  <si>
    <t xml:space="preserve">Long-idle connection probe</t>
  </si>
  <si>
    <t xml:space="preserve">GEN-INF-21</t>
  </si>
  <si>
    <t xml:space="preserve">Component: nlb on core-subledger-management. Declared in components.json (owner-provided) — will be confirmed/replaced by the infra-md file or infra repo scan.</t>
  </si>
  <si>
    <t xml:space="preserve">GEN-INF-37</t>
  </si>
  <si>
    <t xml:space="preserve">Component: nlb on core-balance-enrichment. Declared in components.json (owner-provided) — will be confirmed/replaced by the infra-md file or infra repo scan.</t>
  </si>
  <si>
    <t xml:space="preserve">GEN-INF-40</t>
  </si>
  <si>
    <t xml:space="preserve">[parameter-store] Parameter Store reload failure</t>
  </si>
  <si>
    <t xml:space="preserve">Service continues on last-known-good config; the missed reload is detected; resumes without restart.</t>
  </si>
  <si>
    <t xml:space="preserve">Component: parameter-store on core-balance-enrichment. Declared in components.json (owner-provided) — will be confirmed/replaced by the infra-md file or infra repo scan.</t>
  </si>
  <si>
    <t xml:space="preserve">Deny after startup + config push (PERF)</t>
  </si>
  <si>
    <t xml:space="preserve">GEN-INF-54</t>
  </si>
  <si>
    <t xml:space="preserve">Component: nlb on account-locator-service. Declared in als-infra-components-by-env.md (per-env, SHA-pinned) — evidence-grade component declaration. Real value: appnlb TCP idle 360s.</t>
  </si>
  <si>
    <t xml:space="preserve">GEN-INF-58</t>
  </si>
  <si>
    <t xml:space="preserve">Read-only endpoint failure — reader/writer path split</t>
  </si>
  <si>
    <t xml:space="preserve">Loss of the -ro endpoint degrades reads per design without impacting writes.</t>
  </si>
  <si>
    <t xml:space="preserve">Scan-card evidence (dnsreg): read-only hostname(s) ['locator-core-ro.corebank.prod.example.internal'] alongside ['locator.corebank.apps.111111111111.prod.example.internal', 'locator-core.corebank.prod.example.internal'].</t>
  </si>
  <si>
    <t xml:space="preserve">DNS/endpoint block on the -ro host (PERF)</t>
  </si>
  <si>
    <t xml:space="preserve">GEN-INF-67</t>
  </si>
  <si>
    <t xml:space="preserve">Component: nlb on core-reference-management. Declared in components.json (owner-provided) — will be confirmed/replaced by the infra-md file or infra repo scan.</t>
  </si>
  <si>
    <t xml:space="preserve">GEN-INF-87</t>
  </si>
  <si>
    <t xml:space="preserve">Component: nlb on merchant-category-reference-data-service. Declared in components.json (owner-provided) — will be confirmed/replaced by the infra-md file or infra repo scan.</t>
  </si>
  <si>
    <t xml:space="preserve">GEN-INF-98</t>
  </si>
  <si>
    <t xml:space="preserve">Component: nlb on core-account-management. Declared in components.json (owner-provided) — will be confirmed/replaced by the infra-md file or infra repo scan.</t>
  </si>
  <si>
    <t xml:space="preserve">GEN-INF-03</t>
  </si>
  <si>
    <t xml:space="preserve">Regional failover drill (us-east-1 -&gt; us-east-2)</t>
  </si>
  <si>
    <t xml:space="preserve">Cross-region promotion + traffic shift meets RTO; secondary replica_count is sufficient for shifted load.</t>
  </si>
  <si>
    <t xml:space="preserve">Infra evidence: primary=us-east-1, secondary=['us-east-2'], secondary_replica_count=1 (note: =1 means the DR region also starts at N=1 — cold-capacity risk).</t>
  </si>
  <si>
    <t xml:space="preserve">Drill (scheduled, stakeholder sign-off)</t>
  </si>
  <si>
    <t xml:space="preserve">GEN-INF-16</t>
  </si>
  <si>
    <t xml:space="preserve">GEN-INF-29</t>
  </si>
  <si>
    <t xml:space="preserve">GEN-INF-45</t>
  </si>
  <si>
    <t xml:space="preserve">GEN-INF-62</t>
  </si>
  <si>
    <t xml:space="preserve">GEN-INF-73</t>
  </si>
  <si>
    <t xml:space="preserve">GEN-INF-82</t>
  </si>
  <si>
    <t xml:space="preserve">GEN-INF-93</t>
  </si>
  <si>
    <t xml:space="preserve">GEN-GOV-01</t>
  </si>
  <si>
    <t xml:space="preserve">Governance</t>
  </si>
  <si>
    <t xml:space="preserve">FAIL-OPEN behavior — human review required (not a chaos test)</t>
  </si>
  <si>
    <t xml:space="preserve">N/A — this is a business/compliance question: is failing open on this check an approved decision?</t>
  </si>
  <si>
    <t xml:space="preserve">Edge evidence: fallback="FAIL-SAFE: any exception -&gt; Collections.emptySet() (sanctioned-word validation skipped, does not block customer op); @Cacheable rdhp-sanctioned-words-cache 24h" — on any exception the check is skipped and the operation proceeds. Intent: OFAC sanctioned-words check</t>
  </si>
  <si>
    <t xml:space="preserve">Compliance/SME review</t>
  </si>
  <si>
    <t xml:space="preserve">-</t>
  </si>
  <si>
    <t xml:space="preserve">NEEDS COMPLIANCE REVIEW</t>
  </si>
  <si>
    <t xml:space="preserve">Scenario ID</t>
  </si>
  <si>
    <t xml:space="preserve">Journey</t>
  </si>
  <si>
    <t xml:space="preserve">Journey-specific assertion (pass condition)</t>
  </si>
  <si>
    <t xml:space="preserve">[01-account-origination] journey step(s) through account-feature-management complete within SLO during the replacement window, or fail with a retriable error</t>
  </si>
  <si>
    <t xml:space="preserve">[01-account-origination] no journey step through account-feature-management produces a duplicate or lost write across the failover</t>
  </si>
  <si>
    <t xml:space="preserve">[01-account-origination] end-to-end journey completes in DR region</t>
  </si>
  <si>
    <t xml:space="preserve">[01-account-origination] steps through account-feature-management meet the journey SLO under this fault</t>
  </si>
  <si>
    <t xml:space="preserve">[01-account-origination] journey step(s) through core-subledger-management complete within SLO during the replacement window, or fail with a retriable error</t>
  </si>
  <si>
    <t xml:space="preserve">[01-account-origination] no journey step through core-subledger-management produces a duplicate or lost write across the failover</t>
  </si>
  <si>
    <t xml:space="preserve">[01-account-origination] steps through core-subledger-management meet the journey SLO under this fault</t>
  </si>
  <si>
    <t xml:space="preserve">[01-account-origination] no plaintext publish and no event loss under key denial</t>
  </si>
  <si>
    <t xml:space="preserve">[01-account-origination] journey step(s) through core-balance-enrichment complete within SLO during the replacement window, or fail with a retriable error</t>
  </si>
  <si>
    <t xml:space="preserve">[01-account-origination] no journey step through core-balance-enrichment produces a duplicate or lost write across the failover</t>
  </si>
  <si>
    <t xml:space="preserve">[01-account-origination] steps through core-balance-enrichment meet the journey SLO under this fault</t>
  </si>
  <si>
    <t xml:space="preserve">[01-account-origination] journey step(s) through account-locator-service complete within SLO during the replacement window, or fail with a retriable error</t>
  </si>
  <si>
    <t xml:space="preserve">[01-account-origination] no journey step through account-locator-service produces a duplicate or lost write across the failover</t>
  </si>
  <si>
    <t xml:space="preserve">[01-account-origination] steps through account-locator-service meet the journey SLO under this fault</t>
  </si>
  <si>
    <t xml:space="preserve">[01-account-origination] zero event loss for this journey across a broker outage</t>
  </si>
  <si>
    <t xml:space="preserve">[01-account-origination] event flow resumes after an IDP outage without restarts</t>
  </si>
  <si>
    <t xml:space="preserve">[01-account-origination] no event published unencrypted or silently dropped</t>
  </si>
  <si>
    <t xml:space="preserve">[01-account-origination] read steps degrade per design; write steps unaffected</t>
  </si>
  <si>
    <t xml:space="preserve">[01-account-origination] once fixed: breaker-open on a dependency fault keeps account-locator-service's other endpoints healthy</t>
  </si>
  <si>
    <t xml:space="preserve">[01-account-origination] events for this journey are delivered exactly-once (effective) after broker recovery</t>
  </si>
  <si>
    <t xml:space="preserve">[01-account-origination] no duplicate side-effect from an in-window replay; post-window behavior documented</t>
  </si>
  <si>
    <t xml:space="preserve">[01-account-origination] journey step(s) through core-reference-management complete within SLO during the replacement window, or fail with a retriable error</t>
  </si>
  <si>
    <t xml:space="preserve">[01-account-origination] no journey step through core-reference-management produces a duplicate or lost write across the failover</t>
  </si>
  <si>
    <t xml:space="preserve">[01-account-origination] steps through core-reference-management meet the journey SLO under this fault</t>
  </si>
  <si>
    <t xml:space="preserve">[01-account-origination] journey step(s) through core-subledger-data-consumer complete within SLO during the replacement window, or fail with a retriable error</t>
  </si>
  <si>
    <t xml:space="preserve">[01-account-origination] no journey step through core-subledger-data-consumer produces a duplicate or lost write across the failover</t>
  </si>
  <si>
    <t xml:space="preserve">[01-account-origination] steps through core-subledger-data-consumer meet the journey SLO under this fault</t>
  </si>
  <si>
    <t xml:space="preserve">[01-account-origination] journey step(s) through merchant-category-reference-data-service complete within SLO during the replacement window, or fail with a retriable error</t>
  </si>
  <si>
    <t xml:space="preserve">[01-account-origination] no journey step through merchant-category-reference-data-service produces a duplicate or lost write across the failover</t>
  </si>
  <si>
    <t xml:space="preserve">[01-account-origination] steps through merchant-category-reference-data-service survive a 2x load step without autoscale headroom</t>
  </si>
  <si>
    <t xml:space="preserve">[01-account-origination] steps through merchant-category-reference-data-service meet the journey SLO under this fault</t>
  </si>
  <si>
    <t xml:space="preserve">[01-account-origination] journey step(s) through core-account-management complete within SLO during the replacement window, or fail with a retriable error</t>
  </si>
  <si>
    <t xml:space="preserve">[01-account-origination] no journey step through core-account-management produces a duplicate or lost write across the failover</t>
  </si>
  <si>
    <t xml:space="preserve">[01-account-origination] steps through core-account-management meet the journey SLO under this fault</t>
  </si>
  <si>
    <t xml:space="preserve">[01-account-origination] step 'Create 3 subledgers in CBS' degrades per its coded fallback, not by hanging</t>
  </si>
  <si>
    <t xml:space="preserve">[01-account-origination] step 'OFAC sanctioned-words check' degrades per its coded fallback, not by hanging</t>
  </si>
  <si>
    <t xml:space="preserve">[01-account-origination] step 'Spend-save categories' degrades per its coded fallback, not by hanging</t>
  </si>
  <si>
    <t xml:space="preserve">[01-account-origination] the hard failure of 'Spend-save categories' is correctly surfaced to the journey initiator</t>
  </si>
  <si>
    <t xml:space="preserve">[01-account-origination] the red-graded failure mode is closed and guarded by a repeatable injection</t>
  </si>
  <si>
    <t xml:space="preserve">[01-account-origination] step 'Purge CBS account (PurgeCBSAccount) on close-on-error' degrades per its coded fallback, not by hanging</t>
  </si>
  <si>
    <t xml:space="preserve">[01-account-origination] step 'Delete account feature' degrades per its coded fallback, not by hanging</t>
  </si>
  <si>
    <t xml:space="preserve">[01-account-origination] step 'Delete locator entry' degrades per its coded fallback, not by hanging</t>
  </si>
  <si>
    <t xml:space="preserve">[01-account-origination] a failed compensation is retried or alarmed; no orphaned records across the chain</t>
  </si>
  <si>
    <t xml:space="preserve">[01-account-origination] per-step rollback state is visible and alertable</t>
  </si>
  <si>
    <t xml:space="preserve">Type</t>
  </si>
  <si>
    <t xml:space="preserve">Detail</t>
  </si>
  <si>
    <t xml:space="preserve">UNSCANNED_NODE</t>
  </si>
  <si>
    <t xml:space="preserve">aoa — no scan evidence; node-level scenarios NOT generated (accuracy contract: no evidence, no scenario). External/upstream platform? Confirm ownership and whether it enters scan scope.</t>
  </si>
  <si>
    <t xml:space="preserve">arr — no scan evidence; node-level scenarios NOT generated (accuracy contract: no evidence, no scenario). External/upstream platform? Confirm ownership and whether it enters scan scope.</t>
  </si>
  <si>
    <t xml:space="preserve">au — no scan evidence; node-level scenarios NOT generated (accuracy contract: no evidence, no scenario). External/upstream platform? Confirm ownership and whether it enters scan scope.</t>
  </si>
  <si>
    <t xml:space="preserve">cdp-ta — no scan evidence; node-level scenarios NOT generated (accuracy contract: no evidence, no scenario). External/upstream platform? Confirm ownership and whether it enters scan scope.</t>
  </si>
  <si>
    <t xml:space="preserve">channel-digital — no scan evidence; node-level scenarios NOT generated (accuracy contract: no evidence, no scenario). External/upstream platform? Confirm ownership and whether it enters scan scope.</t>
  </si>
  <si>
    <t xml:space="preserve">data-lake — no scan evidence; node-level scenarios NOT generated (accuracy contract: no evidence, no scenario). External/upstream platform? Confirm ownership and whether it enters scan scope.</t>
  </si>
  <si>
    <t xml:space="preserve">ENV_DELTA_PERF_VALIDITY</t>
  </si>
  <si>
    <t xml:space="preserve">account-locator-service: app-side Redis caching is DISABLED in PERF but ENABLED in PROD (als-infra-components-by-env.md). Every cache-related scenario run in PERF tests a DIFFERENT system than PROD — cache scenarios need a cache-enabled environment or an explicit validity caveat.</t>
  </si>
  <si>
    <t xml:space="preserve">account-locator-service: PROD has 3 AZs per region, PERF has 2 (als-infra-components-by-env.md). AZ-impairment results from PERF (N-1 of 2) do not directly transfer to PROD (N-1 of 3).</t>
  </si>
  <si>
    <t xml:space="preserve">CONFLICTING_EVIDENCE</t>
  </si>
  <si>
    <t xml:space="preserve">account-locator-service: journey file says replica_count=1, but als-infra-components-by-env.md says autoscaling min 3 / max 6 (replica baseline 1). These cannot both describe steady state — reconcile before trusting the single-replica-exposure scenario. Likely: baseline 1 at deploy, autoscaling floor raises to 3 — CONFIRM, do not assume.</t>
  </si>
  <si>
    <t xml:space="preserve">cbs-account-mgmt — no scan evidence; node-level scenarios NOT generated (accuracy contract: no evidence, no scenario). External/upstream platform? Confirm ownership and whether it enters scan scope.</t>
  </si>
  <si>
    <t xml:space="preserve">cbs-subledger-mgmt — no scan evidence; node-level scenarios NOT generated (accuracy contract: no evidence, no scenario). External/upstream platform? Confirm ownership and whether it enters scan scope.</t>
  </si>
  <si>
    <t xml:space="preserve">kidsvendor — no scan evidence; node-level scenarios NOT generated (accuracy contract: no evidence, no scenario). External/upstream platform? Confirm ownership and whether it enters scan scope.</t>
  </si>
  <si>
    <t xml:space="preserve">rdhp — no scan evidence; node-level scenarios NOT generated (accuracy contract: no evidence, no scenario). External/upstream platform? Confirm ownership and whether it enters scan scope.</t>
  </si>
  <si>
    <t xml:space="preserve">PENDING_SME_EDGE</t>
  </si>
  <si>
    <t xml:space="preserve">channel-digital -&gt; aoa (ui-flow): grade pending — resolve via SME/scan before generating injection scenarios against it. Intent: Customer opens SMB tile</t>
  </si>
  <si>
    <t xml:space="preserve">aoa -&gt; arr (event): grade pending — resolve via SME/scan before generating injection scenarios against it. Intent: Account Open Request; ARR allocates number</t>
  </si>
  <si>
    <t xml:space="preserve">arr -&gt; account-locator-service (http): grade pending — resolve via SME/scan before generating injection scenarios against it. Intent: Get ledger platform for ECI</t>
  </si>
  <si>
    <t xml:space="preserve">arr -&gt; kidsvendor (http): grade pending — resolve via SME/scan before generating injection scenarios against it. Intent: Vendor branch (out of scope)</t>
  </si>
  <si>
    <t xml:space="preserve">arr -&gt; core-account-management (http): grade pending — resolve via SME/scan before generating injection scenarios against it. Intent: Open the account (DD facade)</t>
  </si>
  <si>
    <t xml:space="preserve">arr -&gt; au (event): grade pending — resolve via SME/scan before generating injection scenarios against it. Intent: Account Open Successful -&gt; AU</t>
  </si>
  <si>
    <t xml:space="preserve">arr -&gt; aoa (rollback-event): grade pending — resolve via SME/scan before generating injection scenarios against it. Intent: Account Open Failed; AOA discards allocated number</t>
  </si>
  <si>
    <t xml:space="preserve">UNRESOLVED_IDENTITY</t>
  </si>
  <si>
    <t xml:space="preserve">cc-app-communications-core-alerts (outbound, via http) — target/source identity unresolved; scenarios not generated for it.</t>
  </si>
  <si>
    <t xml:space="preserve">smb-tasks-exp-svc (outbound, via http) — target/source identity unresolved; scenarios not generated for it.</t>
  </si>
  <si>
    <t xml:space="preserve">smb-tasks-exp-svc (inbound, via http) — target/source identity unresolved; scenarios not generated for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</si>
</sst>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54922"/>
          <bgColor rgb="FF000000"/>
        </patternFill>
      </fill>
    </dxf>
    <dxf>
      <fill>
        <patternFill patternType="solid">
          <fgColor rgb="FFE6833E"/>
          <bgColor rgb="FF000000"/>
        </patternFill>
      </fill>
    </dxf>
    <dxf>
      <fill>
        <patternFill patternType="solid">
          <fgColor rgb="FFEA9144"/>
          <bgColor rgb="FF000000"/>
        </patternFill>
      </fill>
    </dxf>
    <dxf>
      <fill>
        <patternFill patternType="solid">
          <fgColor rgb="FFF7BD59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9A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23.85" hidden="false" customHeight="false" outlineLevel="0" collapsed="false">
      <c r="A16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8" min="7" style="0" width="22"/>
    <col collapsed="false" customWidth="true" hidden="false" outlineLevel="0" max="11" min="9" style="0" width="8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6"/>
    <col collapsed="false" customWidth="true" hidden="false" outlineLevel="0" max="15" min="15" style="0" width="24"/>
  </cols>
  <sheetData>
    <row r="1" customFormat="false" ht="35.0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</row>
    <row r="2" customFormat="false" ht="95.5" hidden="false" customHeight="false" outlineLevel="0" collapsed="false">
      <c r="A2" s="6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n">
        <v>5</v>
      </c>
      <c r="J2" s="7" t="n">
        <v>5</v>
      </c>
      <c r="K2" s="8" t="n">
        <f aca="false">I2*J2</f>
        <v>25</v>
      </c>
      <c r="L2" s="7" t="str">
        <f aca="false">IF(I2=5,"Almost Certain",IF(I2=4,"Likely",IF(I2=3,"Possible",IF(I2=2,"Unlikely","Rare"))))</f>
        <v>Almost Certain</v>
      </c>
      <c r="M2" s="7" t="str">
        <f aca="false">IF(K2&gt;=16,"Critical",IF(K2&gt;=9,"High",IF(K2&gt;=4,"Medium","Opportunistic")))</f>
        <v>Critical</v>
      </c>
      <c r="N2" s="7" t="n">
        <v>1</v>
      </c>
      <c r="O2" s="7" t="s">
        <v>38</v>
      </c>
    </row>
    <row r="3" customFormat="false" ht="53.7" hidden="false" customHeight="false" outlineLevel="0" collapsed="false">
      <c r="A3" s="9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37</v>
      </c>
      <c r="I3" s="10" t="n">
        <v>4</v>
      </c>
      <c r="J3" s="10" t="n">
        <v>5</v>
      </c>
      <c r="K3" s="11" t="n">
        <f aca="false">I3*J3</f>
        <v>20</v>
      </c>
      <c r="L3" s="10" t="str">
        <f aca="false">IF(I3=5,"Almost Certain",IF(I3=4,"Likely",IF(I3=3,"Possible",IF(I3=2,"Unlikely","Rare"))))</f>
        <v>Likely</v>
      </c>
      <c r="M3" s="10" t="str">
        <f aca="false">IF(K3&gt;=16,"Critical",IF(K3&gt;=9,"High",IF(K3&gt;=4,"Medium","Opportunistic")))</f>
        <v>Critical</v>
      </c>
      <c r="N3" s="10" t="n">
        <v>1</v>
      </c>
      <c r="O3" s="10" t="s">
        <v>46</v>
      </c>
    </row>
    <row r="4" customFormat="false" ht="95.5" hidden="false" customHeight="false" outlineLevel="0" collapsed="false">
      <c r="A4" s="12" t="s">
        <v>47</v>
      </c>
      <c r="B4" s="13" t="s">
        <v>31</v>
      </c>
      <c r="C4" s="13" t="s">
        <v>48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37</v>
      </c>
      <c r="I4" s="13" t="n">
        <v>4</v>
      </c>
      <c r="J4" s="13" t="n">
        <v>5</v>
      </c>
      <c r="K4" s="14" t="n">
        <f aca="false">I4*J4</f>
        <v>20</v>
      </c>
      <c r="L4" s="13" t="str">
        <f aca="false">IF(I4=5,"Almost Certain",IF(I4=4,"Likely",IF(I4=3,"Possible",IF(I4=2,"Unlikely","Rare"))))</f>
        <v>Likely</v>
      </c>
      <c r="M4" s="13" t="str">
        <f aca="false">IF(K4&gt;=16,"Critical",IF(K4&gt;=9,"High",IF(K4&gt;=4,"Medium","Opportunistic")))</f>
        <v>Critical</v>
      </c>
      <c r="N4" s="13" t="n">
        <v>1</v>
      </c>
      <c r="O4" s="13" t="s">
        <v>53</v>
      </c>
    </row>
    <row r="5" customFormat="false" ht="105.95" hidden="false" customHeight="false" outlineLevel="0" collapsed="false">
      <c r="A5" s="12" t="s">
        <v>54</v>
      </c>
      <c r="B5" s="13" t="s">
        <v>31</v>
      </c>
      <c r="C5" s="13" t="s">
        <v>55</v>
      </c>
      <c r="D5" s="13" t="s">
        <v>49</v>
      </c>
      <c r="E5" s="13" t="s">
        <v>56</v>
      </c>
      <c r="F5" s="13" t="s">
        <v>57</v>
      </c>
      <c r="G5" s="13" t="s">
        <v>52</v>
      </c>
      <c r="H5" s="13" t="s">
        <v>37</v>
      </c>
      <c r="I5" s="13" t="n">
        <v>4</v>
      </c>
      <c r="J5" s="13" t="n">
        <v>5</v>
      </c>
      <c r="K5" s="14" t="n">
        <f aca="false">I5*J5</f>
        <v>20</v>
      </c>
      <c r="L5" s="13" t="str">
        <f aca="false">IF(I5=5,"Almost Certain",IF(I5=4,"Likely",IF(I5=3,"Possible",IF(I5=2,"Unlikely","Rare"))))</f>
        <v>Likely</v>
      </c>
      <c r="M5" s="13" t="str">
        <f aca="false">IF(K5&gt;=16,"Critical",IF(K5&gt;=9,"High",IF(K5&gt;=4,"Medium","Opportunistic")))</f>
        <v>Critical</v>
      </c>
      <c r="N5" s="13" t="n">
        <v>1</v>
      </c>
      <c r="O5" s="13" t="s">
        <v>53</v>
      </c>
    </row>
    <row r="6" customFormat="false" ht="85.05" hidden="false" customHeight="false" outlineLevel="0" collapsed="false">
      <c r="A6" s="12" t="s">
        <v>58</v>
      </c>
      <c r="B6" s="13" t="s">
        <v>31</v>
      </c>
      <c r="C6" s="13" t="s">
        <v>59</v>
      </c>
      <c r="D6" s="13" t="s">
        <v>49</v>
      </c>
      <c r="E6" s="13" t="s">
        <v>60</v>
      </c>
      <c r="F6" s="13" t="s">
        <v>61</v>
      </c>
      <c r="G6" s="13" t="s">
        <v>52</v>
      </c>
      <c r="H6" s="13" t="s">
        <v>37</v>
      </c>
      <c r="I6" s="13" t="n">
        <v>4</v>
      </c>
      <c r="J6" s="13" t="n">
        <v>5</v>
      </c>
      <c r="K6" s="14" t="n">
        <f aca="false">I6*J6</f>
        <v>20</v>
      </c>
      <c r="L6" s="13" t="str">
        <f aca="false">IF(I6=5,"Almost Certain",IF(I6=4,"Likely",IF(I6=3,"Possible",IF(I6=2,"Unlikely","Rare"))))</f>
        <v>Likely</v>
      </c>
      <c r="M6" s="13" t="str">
        <f aca="false">IF(K6&gt;=16,"Critical",IF(K6&gt;=9,"High",IF(K6&gt;=4,"Medium","Opportunistic")))</f>
        <v>Critical</v>
      </c>
      <c r="N6" s="13" t="n">
        <v>1</v>
      </c>
      <c r="O6" s="13" t="s">
        <v>53</v>
      </c>
    </row>
    <row r="7" customFormat="false" ht="43.25" hidden="false" customHeight="false" outlineLevel="0" collapsed="false">
      <c r="A7" s="12" t="s">
        <v>62</v>
      </c>
      <c r="B7" s="13" t="s">
        <v>31</v>
      </c>
      <c r="C7" s="13" t="s">
        <v>59</v>
      </c>
      <c r="D7" s="13" t="s">
        <v>63</v>
      </c>
      <c r="E7" s="13" t="s">
        <v>64</v>
      </c>
      <c r="F7" s="13" t="s">
        <v>65</v>
      </c>
      <c r="G7" s="13" t="s">
        <v>66</v>
      </c>
      <c r="H7" s="13" t="s">
        <v>37</v>
      </c>
      <c r="I7" s="13" t="n">
        <v>4</v>
      </c>
      <c r="J7" s="13" t="n">
        <v>5</v>
      </c>
      <c r="K7" s="14" t="n">
        <f aca="false">I7*J7</f>
        <v>20</v>
      </c>
      <c r="L7" s="13" t="str">
        <f aca="false">IF(I7=5,"Almost Certain",IF(I7=4,"Likely",IF(I7=3,"Possible",IF(I7=2,"Unlikely","Rare"))))</f>
        <v>Likely</v>
      </c>
      <c r="M7" s="13" t="str">
        <f aca="false">IF(K7&gt;=16,"Critical",IF(K7&gt;=9,"High",IF(K7&gt;=4,"Medium","Opportunistic")))</f>
        <v>Critical</v>
      </c>
      <c r="N7" s="13" t="n">
        <v>1</v>
      </c>
      <c r="O7" s="13" t="s">
        <v>53</v>
      </c>
    </row>
    <row r="8" customFormat="false" ht="74.6" hidden="false" customHeight="false" outlineLevel="0" collapsed="false">
      <c r="A8" s="12" t="s">
        <v>67</v>
      </c>
      <c r="B8" s="13" t="s">
        <v>31</v>
      </c>
      <c r="C8" s="13" t="s">
        <v>68</v>
      </c>
      <c r="D8" s="13" t="s">
        <v>49</v>
      </c>
      <c r="E8" s="13" t="s">
        <v>69</v>
      </c>
      <c r="F8" s="13" t="s">
        <v>70</v>
      </c>
      <c r="G8" s="13" t="s">
        <v>52</v>
      </c>
      <c r="H8" s="13" t="s">
        <v>37</v>
      </c>
      <c r="I8" s="13" t="n">
        <v>4</v>
      </c>
      <c r="J8" s="13" t="n">
        <v>5</v>
      </c>
      <c r="K8" s="14" t="n">
        <f aca="false">I8*J8</f>
        <v>20</v>
      </c>
      <c r="L8" s="13" t="str">
        <f aca="false">IF(I8=5,"Almost Certain",IF(I8=4,"Likely",IF(I8=3,"Possible",IF(I8=2,"Unlikely","Rare"))))</f>
        <v>Likely</v>
      </c>
      <c r="M8" s="13" t="str">
        <f aca="false">IF(K8&gt;=16,"Critical",IF(K8&gt;=9,"High",IF(K8&gt;=4,"Medium","Opportunistic")))</f>
        <v>Critical</v>
      </c>
      <c r="N8" s="13" t="n">
        <v>1</v>
      </c>
      <c r="O8" s="13" t="s">
        <v>53</v>
      </c>
    </row>
    <row r="9" customFormat="false" ht="74.6" hidden="false" customHeight="false" outlineLevel="0" collapsed="false">
      <c r="A9" s="12" t="s">
        <v>71</v>
      </c>
      <c r="B9" s="13" t="s">
        <v>31</v>
      </c>
      <c r="C9" s="13" t="s">
        <v>72</v>
      </c>
      <c r="D9" s="13" t="s">
        <v>49</v>
      </c>
      <c r="E9" s="13" t="s">
        <v>73</v>
      </c>
      <c r="F9" s="13" t="s">
        <v>74</v>
      </c>
      <c r="G9" s="13" t="s">
        <v>52</v>
      </c>
      <c r="H9" s="13" t="s">
        <v>37</v>
      </c>
      <c r="I9" s="13" t="n">
        <v>4</v>
      </c>
      <c r="J9" s="13" t="n">
        <v>5</v>
      </c>
      <c r="K9" s="14" t="n">
        <f aca="false">I9*J9</f>
        <v>20</v>
      </c>
      <c r="L9" s="13" t="str">
        <f aca="false">IF(I9=5,"Almost Certain",IF(I9=4,"Likely",IF(I9=3,"Possible",IF(I9=2,"Unlikely","Rare"))))</f>
        <v>Likely</v>
      </c>
      <c r="M9" s="13" t="str">
        <f aca="false">IF(K9&gt;=16,"Critical",IF(K9&gt;=9,"High",IF(K9&gt;=4,"Medium","Opportunistic")))</f>
        <v>Critical</v>
      </c>
      <c r="N9" s="13" t="n">
        <v>1</v>
      </c>
      <c r="O9" s="13" t="s">
        <v>53</v>
      </c>
    </row>
    <row r="10" customFormat="false" ht="95.5" hidden="false" customHeight="false" outlineLevel="0" collapsed="false">
      <c r="A10" s="12" t="s">
        <v>75</v>
      </c>
      <c r="B10" s="13" t="s">
        <v>31</v>
      </c>
      <c r="C10" s="13" t="s">
        <v>76</v>
      </c>
      <c r="D10" s="13" t="s">
        <v>49</v>
      </c>
      <c r="E10" s="13" t="s">
        <v>77</v>
      </c>
      <c r="F10" s="13" t="s">
        <v>78</v>
      </c>
      <c r="G10" s="13" t="s">
        <v>52</v>
      </c>
      <c r="H10" s="13" t="s">
        <v>37</v>
      </c>
      <c r="I10" s="13" t="n">
        <v>4</v>
      </c>
      <c r="J10" s="13" t="n">
        <v>5</v>
      </c>
      <c r="K10" s="14" t="n">
        <f aca="false">I10*J10</f>
        <v>20</v>
      </c>
      <c r="L10" s="13" t="str">
        <f aca="false">IF(I10=5,"Almost Certain",IF(I10=4,"Likely",IF(I10=3,"Possible",IF(I10=2,"Unlikely","Rare"))))</f>
        <v>Likely</v>
      </c>
      <c r="M10" s="13" t="str">
        <f aca="false">IF(K10&gt;=16,"Critical",IF(K10&gt;=9,"High",IF(K10&gt;=4,"Medium","Opportunistic")))</f>
        <v>Critical</v>
      </c>
      <c r="N10" s="13" t="n">
        <v>1</v>
      </c>
      <c r="O10" s="13" t="s">
        <v>53</v>
      </c>
    </row>
    <row r="11" customFormat="false" ht="53.7" hidden="false" customHeight="false" outlineLevel="0" collapsed="false">
      <c r="A11" s="12" t="s">
        <v>79</v>
      </c>
      <c r="B11" s="13" t="s">
        <v>80</v>
      </c>
      <c r="C11" s="13" t="s">
        <v>81</v>
      </c>
      <c r="D11" s="13" t="s">
        <v>82</v>
      </c>
      <c r="E11" s="13" t="s">
        <v>83</v>
      </c>
      <c r="F11" s="13" t="s">
        <v>84</v>
      </c>
      <c r="G11" s="13" t="s">
        <v>85</v>
      </c>
      <c r="H11" s="13" t="s">
        <v>37</v>
      </c>
      <c r="I11" s="13" t="n">
        <v>4</v>
      </c>
      <c r="J11" s="13" t="n">
        <v>4</v>
      </c>
      <c r="K11" s="14" t="n">
        <f aca="false">I11*J11</f>
        <v>16</v>
      </c>
      <c r="L11" s="13" t="str">
        <f aca="false">IF(I11=5,"Almost Certain",IF(I11=4,"Likely",IF(I11=3,"Possible",IF(I11=2,"Unlikely","Rare"))))</f>
        <v>Likely</v>
      </c>
      <c r="M11" s="13" t="str">
        <f aca="false">IF(K11&gt;=16,"Critical",IF(K11&gt;=9,"High",IF(K11&gt;=4,"Medium","Opportunistic")))</f>
        <v>Critical</v>
      </c>
      <c r="N11" s="13" t="n">
        <v>1</v>
      </c>
      <c r="O11" s="13" t="s">
        <v>53</v>
      </c>
    </row>
    <row r="12" customFormat="false" ht="53.7" hidden="false" customHeight="false" outlineLevel="0" collapsed="false">
      <c r="A12" s="12" t="s">
        <v>86</v>
      </c>
      <c r="B12" s="13" t="s">
        <v>80</v>
      </c>
      <c r="C12" s="13" t="s">
        <v>87</v>
      </c>
      <c r="D12" s="13" t="s">
        <v>82</v>
      </c>
      <c r="E12" s="13" t="s">
        <v>83</v>
      </c>
      <c r="F12" s="13" t="s">
        <v>84</v>
      </c>
      <c r="G12" s="13" t="s">
        <v>85</v>
      </c>
      <c r="H12" s="13" t="s">
        <v>37</v>
      </c>
      <c r="I12" s="13" t="n">
        <v>4</v>
      </c>
      <c r="J12" s="13" t="n">
        <v>4</v>
      </c>
      <c r="K12" s="14" t="n">
        <f aca="false">I12*J12</f>
        <v>16</v>
      </c>
      <c r="L12" s="13" t="str">
        <f aca="false">IF(I12=5,"Almost Certain",IF(I12=4,"Likely",IF(I12=3,"Possible",IF(I12=2,"Unlikely","Rare"))))</f>
        <v>Likely</v>
      </c>
      <c r="M12" s="13" t="str">
        <f aca="false">IF(K12&gt;=16,"Critical",IF(K12&gt;=9,"High",IF(K12&gt;=4,"Medium","Opportunistic")))</f>
        <v>Critical</v>
      </c>
      <c r="N12" s="13" t="n">
        <v>1</v>
      </c>
      <c r="O12" s="13" t="s">
        <v>53</v>
      </c>
    </row>
    <row r="13" customFormat="false" ht="53.7" hidden="false" customHeight="false" outlineLevel="0" collapsed="false">
      <c r="A13" s="12" t="s">
        <v>88</v>
      </c>
      <c r="B13" s="13" t="s">
        <v>80</v>
      </c>
      <c r="C13" s="13" t="s">
        <v>89</v>
      </c>
      <c r="D13" s="13" t="s">
        <v>82</v>
      </c>
      <c r="E13" s="13" t="s">
        <v>83</v>
      </c>
      <c r="F13" s="13" t="s">
        <v>84</v>
      </c>
      <c r="G13" s="13" t="s">
        <v>85</v>
      </c>
      <c r="H13" s="13" t="s">
        <v>37</v>
      </c>
      <c r="I13" s="13" t="n">
        <v>4</v>
      </c>
      <c r="J13" s="13" t="n">
        <v>4</v>
      </c>
      <c r="K13" s="14" t="n">
        <f aca="false">I13*J13</f>
        <v>16</v>
      </c>
      <c r="L13" s="13" t="str">
        <f aca="false">IF(I13=5,"Almost Certain",IF(I13=4,"Likely",IF(I13=3,"Possible",IF(I13=2,"Unlikely","Rare"))))</f>
        <v>Likely</v>
      </c>
      <c r="M13" s="13" t="str">
        <f aca="false">IF(K13&gt;=16,"Critical",IF(K13&gt;=9,"High",IF(K13&gt;=4,"Medium","Opportunistic")))</f>
        <v>Critical</v>
      </c>
      <c r="N13" s="13" t="n">
        <v>1</v>
      </c>
      <c r="O13" s="13" t="s">
        <v>53</v>
      </c>
    </row>
    <row r="14" customFormat="false" ht="53.7" hidden="false" customHeight="false" outlineLevel="0" collapsed="false">
      <c r="A14" s="9" t="s">
        <v>90</v>
      </c>
      <c r="B14" s="10" t="s">
        <v>80</v>
      </c>
      <c r="C14" s="10" t="s">
        <v>41</v>
      </c>
      <c r="D14" s="10" t="s">
        <v>82</v>
      </c>
      <c r="E14" s="10" t="s">
        <v>83</v>
      </c>
      <c r="F14" s="10" t="s">
        <v>91</v>
      </c>
      <c r="G14" s="10" t="s">
        <v>85</v>
      </c>
      <c r="H14" s="10" t="s">
        <v>37</v>
      </c>
      <c r="I14" s="10" t="n">
        <v>4</v>
      </c>
      <c r="J14" s="10" t="n">
        <v>4</v>
      </c>
      <c r="K14" s="11" t="n">
        <f aca="false">I14*J14</f>
        <v>16</v>
      </c>
      <c r="L14" s="10" t="str">
        <f aca="false">IF(I14=5,"Almost Certain",IF(I14=4,"Likely",IF(I14=3,"Possible",IF(I14=2,"Unlikely","Rare"))))</f>
        <v>Likely</v>
      </c>
      <c r="M14" s="10" t="str">
        <f aca="false">IF(K14&gt;=16,"Critical",IF(K14&gt;=9,"High",IF(K14&gt;=4,"Medium","Opportunistic")))</f>
        <v>Critical</v>
      </c>
      <c r="N14" s="10" t="n">
        <v>1</v>
      </c>
      <c r="O14" s="10" t="s">
        <v>92</v>
      </c>
    </row>
    <row r="15" customFormat="false" ht="53.7" hidden="false" customHeight="false" outlineLevel="0" collapsed="false">
      <c r="A15" s="12" t="s">
        <v>93</v>
      </c>
      <c r="B15" s="13" t="s">
        <v>80</v>
      </c>
      <c r="C15" s="13" t="s">
        <v>94</v>
      </c>
      <c r="D15" s="13" t="s">
        <v>82</v>
      </c>
      <c r="E15" s="13" t="s">
        <v>83</v>
      </c>
      <c r="F15" s="13" t="s">
        <v>84</v>
      </c>
      <c r="G15" s="13" t="s">
        <v>85</v>
      </c>
      <c r="H15" s="13" t="s">
        <v>37</v>
      </c>
      <c r="I15" s="13" t="n">
        <v>4</v>
      </c>
      <c r="J15" s="13" t="n">
        <v>4</v>
      </c>
      <c r="K15" s="14" t="n">
        <f aca="false">I15*J15</f>
        <v>16</v>
      </c>
      <c r="L15" s="13" t="str">
        <f aca="false">IF(I15=5,"Almost Certain",IF(I15=4,"Likely",IF(I15=3,"Possible",IF(I15=2,"Unlikely","Rare"))))</f>
        <v>Likely</v>
      </c>
      <c r="M15" s="13" t="str">
        <f aca="false">IF(K15&gt;=16,"Critical",IF(K15&gt;=9,"High",IF(K15&gt;=4,"Medium","Opportunistic")))</f>
        <v>Critical</v>
      </c>
      <c r="N15" s="13" t="n">
        <v>1</v>
      </c>
      <c r="O15" s="13" t="s">
        <v>53</v>
      </c>
    </row>
    <row r="16" customFormat="false" ht="53.7" hidden="false" customHeight="false" outlineLevel="0" collapsed="false">
      <c r="A16" s="12" t="s">
        <v>95</v>
      </c>
      <c r="B16" s="13" t="s">
        <v>80</v>
      </c>
      <c r="C16" s="13" t="s">
        <v>96</v>
      </c>
      <c r="D16" s="13" t="s">
        <v>82</v>
      </c>
      <c r="E16" s="13" t="s">
        <v>83</v>
      </c>
      <c r="F16" s="13" t="s">
        <v>84</v>
      </c>
      <c r="G16" s="13" t="s">
        <v>85</v>
      </c>
      <c r="H16" s="13" t="s">
        <v>37</v>
      </c>
      <c r="I16" s="13" t="n">
        <v>4</v>
      </c>
      <c r="J16" s="13" t="n">
        <v>4</v>
      </c>
      <c r="K16" s="14" t="n">
        <f aca="false">I16*J16</f>
        <v>16</v>
      </c>
      <c r="L16" s="13" t="str">
        <f aca="false">IF(I16=5,"Almost Certain",IF(I16=4,"Likely",IF(I16=3,"Possible",IF(I16=2,"Unlikely","Rare"))))</f>
        <v>Likely</v>
      </c>
      <c r="M16" s="13" t="str">
        <f aca="false">IF(K16&gt;=16,"Critical",IF(K16&gt;=9,"High",IF(K16&gt;=4,"Medium","Opportunistic")))</f>
        <v>Critical</v>
      </c>
      <c r="N16" s="13" t="n">
        <v>1</v>
      </c>
      <c r="O16" s="13" t="s">
        <v>53</v>
      </c>
    </row>
    <row r="17" customFormat="false" ht="53.7" hidden="false" customHeight="false" outlineLevel="0" collapsed="false">
      <c r="A17" s="12" t="s">
        <v>97</v>
      </c>
      <c r="B17" s="13" t="s">
        <v>80</v>
      </c>
      <c r="C17" s="13" t="s">
        <v>98</v>
      </c>
      <c r="D17" s="13" t="s">
        <v>82</v>
      </c>
      <c r="E17" s="13" t="s">
        <v>83</v>
      </c>
      <c r="F17" s="13" t="s">
        <v>99</v>
      </c>
      <c r="G17" s="13" t="s">
        <v>85</v>
      </c>
      <c r="H17" s="13" t="s">
        <v>37</v>
      </c>
      <c r="I17" s="13" t="n">
        <v>4</v>
      </c>
      <c r="J17" s="13" t="n">
        <v>4</v>
      </c>
      <c r="K17" s="14" t="n">
        <f aca="false">I17*J17</f>
        <v>16</v>
      </c>
      <c r="L17" s="13" t="str">
        <f aca="false">IF(I17=5,"Almost Certain",IF(I17=4,"Likely",IF(I17=3,"Possible",IF(I17=2,"Unlikely","Rare"))))</f>
        <v>Likely</v>
      </c>
      <c r="M17" s="13" t="str">
        <f aca="false">IF(K17&gt;=16,"Critical",IF(K17&gt;=9,"High",IF(K17&gt;=4,"Medium","Opportunistic")))</f>
        <v>Critical</v>
      </c>
      <c r="N17" s="13" t="n">
        <v>1</v>
      </c>
      <c r="O17" s="13" t="s">
        <v>53</v>
      </c>
    </row>
    <row r="18" customFormat="false" ht="53.7" hidden="false" customHeight="false" outlineLevel="0" collapsed="false">
      <c r="A18" s="12" t="s">
        <v>100</v>
      </c>
      <c r="B18" s="13" t="s">
        <v>80</v>
      </c>
      <c r="C18" s="13" t="s">
        <v>101</v>
      </c>
      <c r="D18" s="13" t="s">
        <v>82</v>
      </c>
      <c r="E18" s="13" t="s">
        <v>83</v>
      </c>
      <c r="F18" s="13" t="s">
        <v>84</v>
      </c>
      <c r="G18" s="13" t="s">
        <v>85</v>
      </c>
      <c r="H18" s="13" t="s">
        <v>37</v>
      </c>
      <c r="I18" s="13" t="n">
        <v>4</v>
      </c>
      <c r="J18" s="13" t="n">
        <v>4</v>
      </c>
      <c r="K18" s="14" t="n">
        <f aca="false">I18*J18</f>
        <v>16</v>
      </c>
      <c r="L18" s="13" t="str">
        <f aca="false">IF(I18=5,"Almost Certain",IF(I18=4,"Likely",IF(I18=3,"Possible",IF(I18=2,"Unlikely","Rare"))))</f>
        <v>Likely</v>
      </c>
      <c r="M18" s="13" t="str">
        <f aca="false">IF(K18&gt;=16,"Critical",IF(K18&gt;=9,"High",IF(K18&gt;=4,"Medium","Opportunistic")))</f>
        <v>Critical</v>
      </c>
      <c r="N18" s="13" t="n">
        <v>1</v>
      </c>
      <c r="O18" s="13" t="s">
        <v>53</v>
      </c>
    </row>
    <row r="19" customFormat="false" ht="32.8" hidden="false" customHeight="false" outlineLevel="0" collapsed="false">
      <c r="A19" s="12" t="s">
        <v>102</v>
      </c>
      <c r="B19" s="13" t="s">
        <v>80</v>
      </c>
      <c r="C19" s="13" t="s">
        <v>81</v>
      </c>
      <c r="D19" s="13" t="s">
        <v>103</v>
      </c>
      <c r="E19" s="13" t="s">
        <v>104</v>
      </c>
      <c r="F19" s="13" t="s">
        <v>105</v>
      </c>
      <c r="G19" s="13" t="s">
        <v>106</v>
      </c>
      <c r="H19" s="13" t="s">
        <v>37</v>
      </c>
      <c r="I19" s="13" t="n">
        <v>3</v>
      </c>
      <c r="J19" s="13" t="n">
        <v>5</v>
      </c>
      <c r="K19" s="14" t="n">
        <f aca="false">I19*J19</f>
        <v>15</v>
      </c>
      <c r="L19" s="13" t="str">
        <f aca="false">IF(I19=5,"Almost Certain",IF(I19=4,"Likely",IF(I19=3,"Possible",IF(I19=2,"Unlikely","Rare"))))</f>
        <v>Possible</v>
      </c>
      <c r="M19" s="13" t="str">
        <f aca="false">IF(K19&gt;=16,"Critical",IF(K19&gt;=9,"High",IF(K19&gt;=4,"Medium","Opportunistic")))</f>
        <v>High</v>
      </c>
      <c r="N19" s="13" t="n">
        <v>2</v>
      </c>
      <c r="O19" s="13" t="s">
        <v>53</v>
      </c>
    </row>
    <row r="20" customFormat="false" ht="32.8" hidden="false" customHeight="false" outlineLevel="0" collapsed="false">
      <c r="A20" s="12" t="s">
        <v>107</v>
      </c>
      <c r="B20" s="13" t="s">
        <v>80</v>
      </c>
      <c r="C20" s="13" t="s">
        <v>81</v>
      </c>
      <c r="D20" s="13" t="s">
        <v>108</v>
      </c>
      <c r="E20" s="13" t="s">
        <v>109</v>
      </c>
      <c r="F20" s="13" t="s">
        <v>110</v>
      </c>
      <c r="G20" s="13" t="s">
        <v>111</v>
      </c>
      <c r="H20" s="13" t="s">
        <v>37</v>
      </c>
      <c r="I20" s="13" t="n">
        <v>3</v>
      </c>
      <c r="J20" s="13" t="n">
        <v>5</v>
      </c>
      <c r="K20" s="14" t="n">
        <f aca="false">I20*J20</f>
        <v>15</v>
      </c>
      <c r="L20" s="13" t="str">
        <f aca="false">IF(I20=5,"Almost Certain",IF(I20=4,"Likely",IF(I20=3,"Possible",IF(I20=2,"Unlikely","Rare"))))</f>
        <v>Possible</v>
      </c>
      <c r="M20" s="13" t="str">
        <f aca="false">IF(K20&gt;=16,"Critical",IF(K20&gt;=9,"High",IF(K20&gt;=4,"Medium","Opportunistic")))</f>
        <v>High</v>
      </c>
      <c r="N20" s="13" t="n">
        <v>2</v>
      </c>
      <c r="O20" s="13" t="s">
        <v>112</v>
      </c>
    </row>
    <row r="21" customFormat="false" ht="32.8" hidden="false" customHeight="false" outlineLevel="0" collapsed="false">
      <c r="A21" s="12" t="s">
        <v>113</v>
      </c>
      <c r="B21" s="13" t="s">
        <v>80</v>
      </c>
      <c r="C21" s="13" t="s">
        <v>87</v>
      </c>
      <c r="D21" s="13" t="s">
        <v>103</v>
      </c>
      <c r="E21" s="13" t="s">
        <v>104</v>
      </c>
      <c r="F21" s="13" t="s">
        <v>105</v>
      </c>
      <c r="G21" s="13" t="s">
        <v>106</v>
      </c>
      <c r="H21" s="13" t="s">
        <v>37</v>
      </c>
      <c r="I21" s="13" t="n">
        <v>3</v>
      </c>
      <c r="J21" s="13" t="n">
        <v>5</v>
      </c>
      <c r="K21" s="14" t="n">
        <f aca="false">I21*J21</f>
        <v>15</v>
      </c>
      <c r="L21" s="13" t="str">
        <f aca="false">IF(I21=5,"Almost Certain",IF(I21=4,"Likely",IF(I21=3,"Possible",IF(I21=2,"Unlikely","Rare"))))</f>
        <v>Possible</v>
      </c>
      <c r="M21" s="13" t="str">
        <f aca="false">IF(K21&gt;=16,"Critical",IF(K21&gt;=9,"High",IF(K21&gt;=4,"Medium","Opportunistic")))</f>
        <v>High</v>
      </c>
      <c r="N21" s="13" t="n">
        <v>2</v>
      </c>
      <c r="O21" s="13" t="s">
        <v>53</v>
      </c>
    </row>
    <row r="22" customFormat="false" ht="32.8" hidden="false" customHeight="false" outlineLevel="0" collapsed="false">
      <c r="A22" s="12" t="s">
        <v>114</v>
      </c>
      <c r="B22" s="13" t="s">
        <v>80</v>
      </c>
      <c r="C22" s="13" t="s">
        <v>87</v>
      </c>
      <c r="D22" s="13" t="s">
        <v>108</v>
      </c>
      <c r="E22" s="13" t="s">
        <v>109</v>
      </c>
      <c r="F22" s="13" t="s">
        <v>115</v>
      </c>
      <c r="G22" s="13" t="s">
        <v>111</v>
      </c>
      <c r="H22" s="13" t="s">
        <v>37</v>
      </c>
      <c r="I22" s="13" t="n">
        <v>3</v>
      </c>
      <c r="J22" s="13" t="n">
        <v>5</v>
      </c>
      <c r="K22" s="14" t="n">
        <f aca="false">I22*J22</f>
        <v>15</v>
      </c>
      <c r="L22" s="13" t="str">
        <f aca="false">IF(I22=5,"Almost Certain",IF(I22=4,"Likely",IF(I22=3,"Possible",IF(I22=2,"Unlikely","Rare"))))</f>
        <v>Possible</v>
      </c>
      <c r="M22" s="13" t="str">
        <f aca="false">IF(K22&gt;=16,"Critical",IF(K22&gt;=9,"High",IF(K22&gt;=4,"Medium","Opportunistic")))</f>
        <v>High</v>
      </c>
      <c r="N22" s="13" t="n">
        <v>2</v>
      </c>
      <c r="O22" s="13" t="s">
        <v>112</v>
      </c>
    </row>
    <row r="23" customFormat="false" ht="32.8" hidden="false" customHeight="false" outlineLevel="0" collapsed="false">
      <c r="A23" s="12" t="s">
        <v>116</v>
      </c>
      <c r="B23" s="13" t="s">
        <v>80</v>
      </c>
      <c r="C23" s="13" t="s">
        <v>89</v>
      </c>
      <c r="D23" s="13" t="s">
        <v>103</v>
      </c>
      <c r="E23" s="13" t="s">
        <v>104</v>
      </c>
      <c r="F23" s="13" t="s">
        <v>117</v>
      </c>
      <c r="G23" s="13" t="s">
        <v>106</v>
      </c>
      <c r="H23" s="13" t="s">
        <v>37</v>
      </c>
      <c r="I23" s="13" t="n">
        <v>3</v>
      </c>
      <c r="J23" s="13" t="n">
        <v>5</v>
      </c>
      <c r="K23" s="14" t="n">
        <f aca="false">I23*J23</f>
        <v>15</v>
      </c>
      <c r="L23" s="13" t="str">
        <f aca="false">IF(I23=5,"Almost Certain",IF(I23=4,"Likely",IF(I23=3,"Possible",IF(I23=2,"Unlikely","Rare"))))</f>
        <v>Possible</v>
      </c>
      <c r="M23" s="13" t="str">
        <f aca="false">IF(K23&gt;=16,"Critical",IF(K23&gt;=9,"High",IF(K23&gt;=4,"Medium","Opportunistic")))</f>
        <v>High</v>
      </c>
      <c r="N23" s="13" t="n">
        <v>2</v>
      </c>
      <c r="O23" s="13" t="s">
        <v>53</v>
      </c>
    </row>
    <row r="24" customFormat="false" ht="32.8" hidden="false" customHeight="false" outlineLevel="0" collapsed="false">
      <c r="A24" s="12" t="s">
        <v>118</v>
      </c>
      <c r="B24" s="13" t="s">
        <v>80</v>
      </c>
      <c r="C24" s="13" t="s">
        <v>89</v>
      </c>
      <c r="D24" s="13" t="s">
        <v>108</v>
      </c>
      <c r="E24" s="13" t="s">
        <v>109</v>
      </c>
      <c r="F24" s="13" t="s">
        <v>119</v>
      </c>
      <c r="G24" s="13" t="s">
        <v>111</v>
      </c>
      <c r="H24" s="13" t="s">
        <v>37</v>
      </c>
      <c r="I24" s="13" t="n">
        <v>3</v>
      </c>
      <c r="J24" s="13" t="n">
        <v>5</v>
      </c>
      <c r="K24" s="14" t="n">
        <f aca="false">I24*J24</f>
        <v>15</v>
      </c>
      <c r="L24" s="13" t="str">
        <f aca="false">IF(I24=5,"Almost Certain",IF(I24=4,"Likely",IF(I24=3,"Possible",IF(I24=2,"Unlikely","Rare"))))</f>
        <v>Possible</v>
      </c>
      <c r="M24" s="13" t="str">
        <f aca="false">IF(K24&gt;=16,"Critical",IF(K24&gt;=9,"High",IF(K24&gt;=4,"Medium","Opportunistic")))</f>
        <v>High</v>
      </c>
      <c r="N24" s="13" t="n">
        <v>2</v>
      </c>
      <c r="O24" s="13" t="s">
        <v>112</v>
      </c>
    </row>
    <row r="25" customFormat="false" ht="32.8" hidden="false" customHeight="false" outlineLevel="0" collapsed="false">
      <c r="A25" s="12" t="s">
        <v>120</v>
      </c>
      <c r="B25" s="13" t="s">
        <v>80</v>
      </c>
      <c r="C25" s="13" t="s">
        <v>41</v>
      </c>
      <c r="D25" s="13" t="s">
        <v>103</v>
      </c>
      <c r="E25" s="13" t="s">
        <v>104</v>
      </c>
      <c r="F25" s="13" t="s">
        <v>121</v>
      </c>
      <c r="G25" s="13" t="s">
        <v>106</v>
      </c>
      <c r="H25" s="13" t="s">
        <v>37</v>
      </c>
      <c r="I25" s="13" t="n">
        <v>3</v>
      </c>
      <c r="J25" s="13" t="n">
        <v>5</v>
      </c>
      <c r="K25" s="14" t="n">
        <f aca="false">I25*J25</f>
        <v>15</v>
      </c>
      <c r="L25" s="13" t="str">
        <f aca="false">IF(I25=5,"Almost Certain",IF(I25=4,"Likely",IF(I25=3,"Possible",IF(I25=2,"Unlikely","Rare"))))</f>
        <v>Possible</v>
      </c>
      <c r="M25" s="13" t="str">
        <f aca="false">IF(K25&gt;=16,"Critical",IF(K25&gt;=9,"High",IF(K25&gt;=4,"Medium","Opportunistic")))</f>
        <v>High</v>
      </c>
      <c r="N25" s="13" t="n">
        <v>2</v>
      </c>
      <c r="O25" s="13" t="s">
        <v>53</v>
      </c>
    </row>
    <row r="26" customFormat="false" ht="32.8" hidden="false" customHeight="false" outlineLevel="0" collapsed="false">
      <c r="A26" s="12" t="s">
        <v>122</v>
      </c>
      <c r="B26" s="13" t="s">
        <v>80</v>
      </c>
      <c r="C26" s="13" t="s">
        <v>41</v>
      </c>
      <c r="D26" s="13" t="s">
        <v>108</v>
      </c>
      <c r="E26" s="13" t="s">
        <v>109</v>
      </c>
      <c r="F26" s="13" t="s">
        <v>123</v>
      </c>
      <c r="G26" s="13" t="s">
        <v>111</v>
      </c>
      <c r="H26" s="13" t="s">
        <v>37</v>
      </c>
      <c r="I26" s="13" t="n">
        <v>3</v>
      </c>
      <c r="J26" s="13" t="n">
        <v>5</v>
      </c>
      <c r="K26" s="14" t="n">
        <f aca="false">I26*J26</f>
        <v>15</v>
      </c>
      <c r="L26" s="13" t="str">
        <f aca="false">IF(I26=5,"Almost Certain",IF(I26=4,"Likely",IF(I26=3,"Possible",IF(I26=2,"Unlikely","Rare"))))</f>
        <v>Possible</v>
      </c>
      <c r="M26" s="13" t="str">
        <f aca="false">IF(K26&gt;=16,"Critical",IF(K26&gt;=9,"High",IF(K26&gt;=4,"Medium","Opportunistic")))</f>
        <v>High</v>
      </c>
      <c r="N26" s="13" t="n">
        <v>2</v>
      </c>
      <c r="O26" s="13" t="s">
        <v>124</v>
      </c>
    </row>
    <row r="27" customFormat="false" ht="32.8" hidden="false" customHeight="false" outlineLevel="0" collapsed="false">
      <c r="A27" s="12" t="s">
        <v>125</v>
      </c>
      <c r="B27" s="13" t="s">
        <v>80</v>
      </c>
      <c r="C27" s="13" t="s">
        <v>94</v>
      </c>
      <c r="D27" s="13" t="s">
        <v>103</v>
      </c>
      <c r="E27" s="13" t="s">
        <v>104</v>
      </c>
      <c r="F27" s="13" t="s">
        <v>105</v>
      </c>
      <c r="G27" s="13" t="s">
        <v>106</v>
      </c>
      <c r="H27" s="13" t="s">
        <v>37</v>
      </c>
      <c r="I27" s="13" t="n">
        <v>3</v>
      </c>
      <c r="J27" s="13" t="n">
        <v>5</v>
      </c>
      <c r="K27" s="14" t="n">
        <f aca="false">I27*J27</f>
        <v>15</v>
      </c>
      <c r="L27" s="13" t="str">
        <f aca="false">IF(I27=5,"Almost Certain",IF(I27=4,"Likely",IF(I27=3,"Possible",IF(I27=2,"Unlikely","Rare"))))</f>
        <v>Possible</v>
      </c>
      <c r="M27" s="13" t="str">
        <f aca="false">IF(K27&gt;=16,"Critical",IF(K27&gt;=9,"High",IF(K27&gt;=4,"Medium","Opportunistic")))</f>
        <v>High</v>
      </c>
      <c r="N27" s="13" t="n">
        <v>2</v>
      </c>
      <c r="O27" s="13" t="s">
        <v>53</v>
      </c>
    </row>
    <row r="28" customFormat="false" ht="32.8" hidden="false" customHeight="false" outlineLevel="0" collapsed="false">
      <c r="A28" s="12" t="s">
        <v>126</v>
      </c>
      <c r="B28" s="13" t="s">
        <v>80</v>
      </c>
      <c r="C28" s="13" t="s">
        <v>96</v>
      </c>
      <c r="D28" s="13" t="s">
        <v>103</v>
      </c>
      <c r="E28" s="13" t="s">
        <v>104</v>
      </c>
      <c r="F28" s="13" t="s">
        <v>117</v>
      </c>
      <c r="G28" s="13" t="s">
        <v>106</v>
      </c>
      <c r="H28" s="13" t="s">
        <v>37</v>
      </c>
      <c r="I28" s="13" t="n">
        <v>3</v>
      </c>
      <c r="J28" s="13" t="n">
        <v>5</v>
      </c>
      <c r="K28" s="14" t="n">
        <f aca="false">I28*J28</f>
        <v>15</v>
      </c>
      <c r="L28" s="13" t="str">
        <f aca="false">IF(I28=5,"Almost Certain",IF(I28=4,"Likely",IF(I28=3,"Possible",IF(I28=2,"Unlikely","Rare"))))</f>
        <v>Possible</v>
      </c>
      <c r="M28" s="13" t="str">
        <f aca="false">IF(K28&gt;=16,"Critical",IF(K28&gt;=9,"High",IF(K28&gt;=4,"Medium","Opportunistic")))</f>
        <v>High</v>
      </c>
      <c r="N28" s="13" t="n">
        <v>2</v>
      </c>
      <c r="O28" s="13" t="s">
        <v>53</v>
      </c>
    </row>
    <row r="29" customFormat="false" ht="32.8" hidden="false" customHeight="false" outlineLevel="0" collapsed="false">
      <c r="A29" s="12" t="s">
        <v>127</v>
      </c>
      <c r="B29" s="13" t="s">
        <v>80</v>
      </c>
      <c r="C29" s="13" t="s">
        <v>96</v>
      </c>
      <c r="D29" s="13" t="s">
        <v>108</v>
      </c>
      <c r="E29" s="13" t="s">
        <v>109</v>
      </c>
      <c r="F29" s="13" t="s">
        <v>128</v>
      </c>
      <c r="G29" s="13" t="s">
        <v>111</v>
      </c>
      <c r="H29" s="13" t="s">
        <v>37</v>
      </c>
      <c r="I29" s="13" t="n">
        <v>3</v>
      </c>
      <c r="J29" s="13" t="n">
        <v>5</v>
      </c>
      <c r="K29" s="14" t="n">
        <f aca="false">I29*J29</f>
        <v>15</v>
      </c>
      <c r="L29" s="13" t="str">
        <f aca="false">IF(I29=5,"Almost Certain",IF(I29=4,"Likely",IF(I29=3,"Possible",IF(I29=2,"Unlikely","Rare"))))</f>
        <v>Possible</v>
      </c>
      <c r="M29" s="13" t="str">
        <f aca="false">IF(K29&gt;=16,"Critical",IF(K29&gt;=9,"High",IF(K29&gt;=4,"Medium","Opportunistic")))</f>
        <v>High</v>
      </c>
      <c r="N29" s="13" t="n">
        <v>2</v>
      </c>
      <c r="O29" s="13" t="s">
        <v>112</v>
      </c>
    </row>
    <row r="30" customFormat="false" ht="32.8" hidden="false" customHeight="false" outlineLevel="0" collapsed="false">
      <c r="A30" s="12" t="s">
        <v>129</v>
      </c>
      <c r="B30" s="13" t="s">
        <v>80</v>
      </c>
      <c r="C30" s="13" t="s">
        <v>98</v>
      </c>
      <c r="D30" s="13" t="s">
        <v>103</v>
      </c>
      <c r="E30" s="13" t="s">
        <v>104</v>
      </c>
      <c r="F30" s="13" t="s">
        <v>121</v>
      </c>
      <c r="G30" s="13" t="s">
        <v>106</v>
      </c>
      <c r="H30" s="13" t="s">
        <v>37</v>
      </c>
      <c r="I30" s="13" t="n">
        <v>3</v>
      </c>
      <c r="J30" s="13" t="n">
        <v>5</v>
      </c>
      <c r="K30" s="14" t="n">
        <f aca="false">I30*J30</f>
        <v>15</v>
      </c>
      <c r="L30" s="13" t="str">
        <f aca="false">IF(I30=5,"Almost Certain",IF(I30=4,"Likely",IF(I30=3,"Possible",IF(I30=2,"Unlikely","Rare"))))</f>
        <v>Possible</v>
      </c>
      <c r="M30" s="13" t="str">
        <f aca="false">IF(K30&gt;=16,"Critical",IF(K30&gt;=9,"High",IF(K30&gt;=4,"Medium","Opportunistic")))</f>
        <v>High</v>
      </c>
      <c r="N30" s="13" t="n">
        <v>2</v>
      </c>
      <c r="O30" s="13" t="s">
        <v>53</v>
      </c>
    </row>
    <row r="31" customFormat="false" ht="32.8" hidden="false" customHeight="false" outlineLevel="0" collapsed="false">
      <c r="A31" s="9" t="s">
        <v>130</v>
      </c>
      <c r="B31" s="10" t="s">
        <v>80</v>
      </c>
      <c r="C31" s="10" t="s">
        <v>98</v>
      </c>
      <c r="D31" s="10" t="s">
        <v>131</v>
      </c>
      <c r="E31" s="10" t="s">
        <v>132</v>
      </c>
      <c r="F31" s="10" t="s">
        <v>133</v>
      </c>
      <c r="G31" s="10" t="s">
        <v>134</v>
      </c>
      <c r="H31" s="10" t="s">
        <v>37</v>
      </c>
      <c r="I31" s="10" t="n">
        <v>3</v>
      </c>
      <c r="J31" s="10" t="n">
        <v>5</v>
      </c>
      <c r="K31" s="11" t="n">
        <f aca="false">I31*J31</f>
        <v>15</v>
      </c>
      <c r="L31" s="10" t="str">
        <f aca="false">IF(I31=5,"Almost Certain",IF(I31=4,"Likely",IF(I31=3,"Possible",IF(I31=2,"Unlikely","Rare"))))</f>
        <v>Possible</v>
      </c>
      <c r="M31" s="10" t="str">
        <f aca="false">IF(K31&gt;=16,"Critical",IF(K31&gt;=9,"High",IF(K31&gt;=4,"Medium","Opportunistic")))</f>
        <v>High</v>
      </c>
      <c r="N31" s="10" t="n">
        <v>2</v>
      </c>
      <c r="O31" s="10" t="s">
        <v>135</v>
      </c>
    </row>
    <row r="32" customFormat="false" ht="32.8" hidden="false" customHeight="false" outlineLevel="0" collapsed="false">
      <c r="A32" s="12" t="s">
        <v>136</v>
      </c>
      <c r="B32" s="13" t="s">
        <v>80</v>
      </c>
      <c r="C32" s="13" t="s">
        <v>101</v>
      </c>
      <c r="D32" s="13" t="s">
        <v>103</v>
      </c>
      <c r="E32" s="13" t="s">
        <v>104</v>
      </c>
      <c r="F32" s="13" t="s">
        <v>105</v>
      </c>
      <c r="G32" s="13" t="s">
        <v>106</v>
      </c>
      <c r="H32" s="13" t="s">
        <v>37</v>
      </c>
      <c r="I32" s="13" t="n">
        <v>3</v>
      </c>
      <c r="J32" s="13" t="n">
        <v>5</v>
      </c>
      <c r="K32" s="14" t="n">
        <f aca="false">I32*J32</f>
        <v>15</v>
      </c>
      <c r="L32" s="13" t="str">
        <f aca="false">IF(I32=5,"Almost Certain",IF(I32=4,"Likely",IF(I32=3,"Possible",IF(I32=2,"Unlikely","Rare"))))</f>
        <v>Possible</v>
      </c>
      <c r="M32" s="13" t="str">
        <f aca="false">IF(K32&gt;=16,"Critical",IF(K32&gt;=9,"High",IF(K32&gt;=4,"Medium","Opportunistic")))</f>
        <v>High</v>
      </c>
      <c r="N32" s="13" t="n">
        <v>2</v>
      </c>
      <c r="O32" s="13" t="s">
        <v>53</v>
      </c>
    </row>
    <row r="33" customFormat="false" ht="32.8" hidden="false" customHeight="false" outlineLevel="0" collapsed="false">
      <c r="A33" s="12" t="s">
        <v>137</v>
      </c>
      <c r="B33" s="13" t="s">
        <v>80</v>
      </c>
      <c r="C33" s="13" t="s">
        <v>101</v>
      </c>
      <c r="D33" s="13" t="s">
        <v>108</v>
      </c>
      <c r="E33" s="13" t="s">
        <v>109</v>
      </c>
      <c r="F33" s="13" t="s">
        <v>138</v>
      </c>
      <c r="G33" s="13" t="s">
        <v>111</v>
      </c>
      <c r="H33" s="13" t="s">
        <v>37</v>
      </c>
      <c r="I33" s="13" t="n">
        <v>3</v>
      </c>
      <c r="J33" s="13" t="n">
        <v>5</v>
      </c>
      <c r="K33" s="14" t="n">
        <f aca="false">I33*J33</f>
        <v>15</v>
      </c>
      <c r="L33" s="13" t="str">
        <f aca="false">IF(I33=5,"Almost Certain",IF(I33=4,"Likely",IF(I33=3,"Possible",IF(I33=2,"Unlikely","Rare"))))</f>
        <v>Possible</v>
      </c>
      <c r="M33" s="13" t="str">
        <f aca="false">IF(K33&gt;=16,"Critical",IF(K33&gt;=9,"High",IF(K33&gt;=4,"Medium","Opportunistic")))</f>
        <v>High</v>
      </c>
      <c r="N33" s="13" t="n">
        <v>2</v>
      </c>
      <c r="O33" s="13" t="s">
        <v>112</v>
      </c>
    </row>
    <row r="34" customFormat="false" ht="32.8" hidden="false" customHeight="false" outlineLevel="0" collapsed="false">
      <c r="A34" s="12" t="s">
        <v>139</v>
      </c>
      <c r="B34" s="13" t="s">
        <v>80</v>
      </c>
      <c r="C34" s="13" t="s">
        <v>81</v>
      </c>
      <c r="D34" s="13" t="s">
        <v>140</v>
      </c>
      <c r="E34" s="13" t="s">
        <v>141</v>
      </c>
      <c r="F34" s="13" t="s">
        <v>142</v>
      </c>
      <c r="G34" s="13" t="s">
        <v>143</v>
      </c>
      <c r="H34" s="13" t="s">
        <v>37</v>
      </c>
      <c r="I34" s="13" t="n">
        <v>3</v>
      </c>
      <c r="J34" s="13" t="n">
        <v>4</v>
      </c>
      <c r="K34" s="14" t="n">
        <f aca="false">I34*J34</f>
        <v>12</v>
      </c>
      <c r="L34" s="13" t="str">
        <f aca="false">IF(I34=5,"Almost Certain",IF(I34=4,"Likely",IF(I34=3,"Possible",IF(I34=2,"Unlikely","Rare"))))</f>
        <v>Possible</v>
      </c>
      <c r="M34" s="13" t="str">
        <f aca="false">IF(K34&gt;=16,"Critical",IF(K34&gt;=9,"High",IF(K34&gt;=4,"Medium","Opportunistic")))</f>
        <v>High</v>
      </c>
      <c r="N34" s="13" t="n">
        <v>2</v>
      </c>
      <c r="O34" s="13" t="s">
        <v>112</v>
      </c>
    </row>
    <row r="35" customFormat="false" ht="32.8" hidden="false" customHeight="false" outlineLevel="0" collapsed="false">
      <c r="A35" s="12" t="s">
        <v>144</v>
      </c>
      <c r="B35" s="13" t="s">
        <v>80</v>
      </c>
      <c r="C35" s="13" t="s">
        <v>81</v>
      </c>
      <c r="D35" s="13" t="s">
        <v>145</v>
      </c>
      <c r="E35" s="13" t="s">
        <v>146</v>
      </c>
      <c r="F35" s="13" t="s">
        <v>147</v>
      </c>
      <c r="G35" s="13" t="s">
        <v>148</v>
      </c>
      <c r="H35" s="13" t="s">
        <v>37</v>
      </c>
      <c r="I35" s="13" t="n">
        <v>3</v>
      </c>
      <c r="J35" s="13" t="n">
        <v>4</v>
      </c>
      <c r="K35" s="14" t="n">
        <f aca="false">I35*J35</f>
        <v>12</v>
      </c>
      <c r="L35" s="13" t="str">
        <f aca="false">IF(I35=5,"Almost Certain",IF(I35=4,"Likely",IF(I35=3,"Possible",IF(I35=2,"Unlikely","Rare"))))</f>
        <v>Possible</v>
      </c>
      <c r="M35" s="13" t="str">
        <f aca="false">IF(K35&gt;=16,"Critical",IF(K35&gt;=9,"High",IF(K35&gt;=4,"Medium","Opportunistic")))</f>
        <v>High</v>
      </c>
      <c r="N35" s="13" t="n">
        <v>2</v>
      </c>
      <c r="O35" s="13" t="s">
        <v>112</v>
      </c>
    </row>
    <row r="36" customFormat="false" ht="32.8" hidden="false" customHeight="false" outlineLevel="0" collapsed="false">
      <c r="A36" s="12" t="s">
        <v>149</v>
      </c>
      <c r="B36" s="13" t="s">
        <v>80</v>
      </c>
      <c r="C36" s="13" t="s">
        <v>81</v>
      </c>
      <c r="D36" s="13" t="s">
        <v>150</v>
      </c>
      <c r="E36" s="13" t="s">
        <v>151</v>
      </c>
      <c r="F36" s="13" t="s">
        <v>152</v>
      </c>
      <c r="G36" s="13" t="s">
        <v>153</v>
      </c>
      <c r="H36" s="13" t="s">
        <v>37</v>
      </c>
      <c r="I36" s="13" t="n">
        <v>3</v>
      </c>
      <c r="J36" s="13" t="n">
        <v>4</v>
      </c>
      <c r="K36" s="14" t="n">
        <f aca="false">I36*J36</f>
        <v>12</v>
      </c>
      <c r="L36" s="13" t="str">
        <f aca="false">IF(I36=5,"Almost Certain",IF(I36=4,"Likely",IF(I36=3,"Possible",IF(I36=2,"Unlikely","Rare"))))</f>
        <v>Possible</v>
      </c>
      <c r="M36" s="13" t="str">
        <f aca="false">IF(K36&gt;=16,"Critical",IF(K36&gt;=9,"High",IF(K36&gt;=4,"Medium","Opportunistic")))</f>
        <v>High</v>
      </c>
      <c r="N36" s="13" t="n">
        <v>2</v>
      </c>
      <c r="O36" s="13" t="s">
        <v>112</v>
      </c>
    </row>
    <row r="37" customFormat="false" ht="32.8" hidden="false" customHeight="false" outlineLevel="0" collapsed="false">
      <c r="A37" s="12" t="s">
        <v>154</v>
      </c>
      <c r="B37" s="13" t="s">
        <v>80</v>
      </c>
      <c r="C37" s="13" t="s">
        <v>87</v>
      </c>
      <c r="D37" s="13" t="s">
        <v>145</v>
      </c>
      <c r="E37" s="13" t="s">
        <v>146</v>
      </c>
      <c r="F37" s="13" t="s">
        <v>155</v>
      </c>
      <c r="G37" s="13" t="s">
        <v>148</v>
      </c>
      <c r="H37" s="13" t="s">
        <v>37</v>
      </c>
      <c r="I37" s="13" t="n">
        <v>3</v>
      </c>
      <c r="J37" s="13" t="n">
        <v>4</v>
      </c>
      <c r="K37" s="14" t="n">
        <f aca="false">I37*J37</f>
        <v>12</v>
      </c>
      <c r="L37" s="13" t="str">
        <f aca="false">IF(I37=5,"Almost Certain",IF(I37=4,"Likely",IF(I37=3,"Possible",IF(I37=2,"Unlikely","Rare"))))</f>
        <v>Possible</v>
      </c>
      <c r="M37" s="13" t="str">
        <f aca="false">IF(K37&gt;=16,"Critical",IF(K37&gt;=9,"High",IF(K37&gt;=4,"Medium","Opportunistic")))</f>
        <v>High</v>
      </c>
      <c r="N37" s="13" t="n">
        <v>2</v>
      </c>
      <c r="O37" s="13" t="s">
        <v>112</v>
      </c>
    </row>
    <row r="38" customFormat="false" ht="32.8" hidden="false" customHeight="false" outlineLevel="0" collapsed="false">
      <c r="A38" s="12" t="s">
        <v>156</v>
      </c>
      <c r="B38" s="13" t="s">
        <v>80</v>
      </c>
      <c r="C38" s="13" t="s">
        <v>87</v>
      </c>
      <c r="D38" s="13" t="s">
        <v>150</v>
      </c>
      <c r="E38" s="13" t="s">
        <v>151</v>
      </c>
      <c r="F38" s="13" t="s">
        <v>157</v>
      </c>
      <c r="G38" s="13" t="s">
        <v>153</v>
      </c>
      <c r="H38" s="13" t="s">
        <v>37</v>
      </c>
      <c r="I38" s="13" t="n">
        <v>3</v>
      </c>
      <c r="J38" s="13" t="n">
        <v>4</v>
      </c>
      <c r="K38" s="14" t="n">
        <f aca="false">I38*J38</f>
        <v>12</v>
      </c>
      <c r="L38" s="13" t="str">
        <f aca="false">IF(I38=5,"Almost Certain",IF(I38=4,"Likely",IF(I38=3,"Possible",IF(I38=2,"Unlikely","Rare"))))</f>
        <v>Possible</v>
      </c>
      <c r="M38" s="13" t="str">
        <f aca="false">IF(K38&gt;=16,"Critical",IF(K38&gt;=9,"High",IF(K38&gt;=4,"Medium","Opportunistic")))</f>
        <v>High</v>
      </c>
      <c r="N38" s="13" t="n">
        <v>2</v>
      </c>
      <c r="O38" s="13" t="s">
        <v>112</v>
      </c>
    </row>
    <row r="39" customFormat="false" ht="32.8" hidden="false" customHeight="false" outlineLevel="0" collapsed="false">
      <c r="A39" s="12" t="s">
        <v>158</v>
      </c>
      <c r="B39" s="13" t="s">
        <v>80</v>
      </c>
      <c r="C39" s="13" t="s">
        <v>89</v>
      </c>
      <c r="D39" s="13" t="s">
        <v>140</v>
      </c>
      <c r="E39" s="13" t="s">
        <v>141</v>
      </c>
      <c r="F39" s="13" t="s">
        <v>159</v>
      </c>
      <c r="G39" s="13" t="s">
        <v>143</v>
      </c>
      <c r="H39" s="13" t="s">
        <v>37</v>
      </c>
      <c r="I39" s="13" t="n">
        <v>3</v>
      </c>
      <c r="J39" s="13" t="n">
        <v>4</v>
      </c>
      <c r="K39" s="14" t="n">
        <f aca="false">I39*J39</f>
        <v>12</v>
      </c>
      <c r="L39" s="13" t="str">
        <f aca="false">IF(I39=5,"Almost Certain",IF(I39=4,"Likely",IF(I39=3,"Possible",IF(I39=2,"Unlikely","Rare"))))</f>
        <v>Possible</v>
      </c>
      <c r="M39" s="13" t="str">
        <f aca="false">IF(K39&gt;=16,"Critical",IF(K39&gt;=9,"High",IF(K39&gt;=4,"Medium","Opportunistic")))</f>
        <v>High</v>
      </c>
      <c r="N39" s="13" t="n">
        <v>2</v>
      </c>
      <c r="O39" s="13" t="s">
        <v>112</v>
      </c>
    </row>
    <row r="40" customFormat="false" ht="32.8" hidden="false" customHeight="false" outlineLevel="0" collapsed="false">
      <c r="A40" s="12" t="s">
        <v>160</v>
      </c>
      <c r="B40" s="13" t="s">
        <v>80</v>
      </c>
      <c r="C40" s="13" t="s">
        <v>89</v>
      </c>
      <c r="D40" s="13" t="s">
        <v>145</v>
      </c>
      <c r="E40" s="13" t="s">
        <v>146</v>
      </c>
      <c r="F40" s="13" t="s">
        <v>161</v>
      </c>
      <c r="G40" s="13" t="s">
        <v>148</v>
      </c>
      <c r="H40" s="13" t="s">
        <v>37</v>
      </c>
      <c r="I40" s="13" t="n">
        <v>3</v>
      </c>
      <c r="J40" s="13" t="n">
        <v>4</v>
      </c>
      <c r="K40" s="14" t="n">
        <f aca="false">I40*J40</f>
        <v>12</v>
      </c>
      <c r="L40" s="13" t="str">
        <f aca="false">IF(I40=5,"Almost Certain",IF(I40=4,"Likely",IF(I40=3,"Possible",IF(I40=2,"Unlikely","Rare"))))</f>
        <v>Possible</v>
      </c>
      <c r="M40" s="13" t="str">
        <f aca="false">IF(K40&gt;=16,"Critical",IF(K40&gt;=9,"High",IF(K40&gt;=4,"Medium","Opportunistic")))</f>
        <v>High</v>
      </c>
      <c r="N40" s="13" t="n">
        <v>2</v>
      </c>
      <c r="O40" s="13" t="s">
        <v>112</v>
      </c>
    </row>
    <row r="41" customFormat="false" ht="32.8" hidden="false" customHeight="false" outlineLevel="0" collapsed="false">
      <c r="A41" s="12" t="s">
        <v>162</v>
      </c>
      <c r="B41" s="13" t="s">
        <v>80</v>
      </c>
      <c r="C41" s="13" t="s">
        <v>89</v>
      </c>
      <c r="D41" s="13" t="s">
        <v>150</v>
      </c>
      <c r="E41" s="13" t="s">
        <v>151</v>
      </c>
      <c r="F41" s="13" t="s">
        <v>163</v>
      </c>
      <c r="G41" s="13" t="s">
        <v>153</v>
      </c>
      <c r="H41" s="13" t="s">
        <v>37</v>
      </c>
      <c r="I41" s="13" t="n">
        <v>3</v>
      </c>
      <c r="J41" s="13" t="n">
        <v>4</v>
      </c>
      <c r="K41" s="14" t="n">
        <f aca="false">I41*J41</f>
        <v>12</v>
      </c>
      <c r="L41" s="13" t="str">
        <f aca="false">IF(I41=5,"Almost Certain",IF(I41=4,"Likely",IF(I41=3,"Possible",IF(I41=2,"Unlikely","Rare"))))</f>
        <v>Possible</v>
      </c>
      <c r="M41" s="13" t="str">
        <f aca="false">IF(K41&gt;=16,"Critical",IF(K41&gt;=9,"High",IF(K41&gt;=4,"Medium","Opportunistic")))</f>
        <v>High</v>
      </c>
      <c r="N41" s="13" t="n">
        <v>2</v>
      </c>
      <c r="O41" s="13" t="s">
        <v>112</v>
      </c>
    </row>
    <row r="42" customFormat="false" ht="43.25" hidden="false" customHeight="false" outlineLevel="0" collapsed="false">
      <c r="A42" s="12" t="s">
        <v>164</v>
      </c>
      <c r="B42" s="13" t="s">
        <v>80</v>
      </c>
      <c r="C42" s="13" t="s">
        <v>41</v>
      </c>
      <c r="D42" s="13" t="s">
        <v>150</v>
      </c>
      <c r="E42" s="13" t="s">
        <v>151</v>
      </c>
      <c r="F42" s="13" t="s">
        <v>165</v>
      </c>
      <c r="G42" s="13" t="s">
        <v>153</v>
      </c>
      <c r="H42" s="13" t="s">
        <v>37</v>
      </c>
      <c r="I42" s="13" t="n">
        <v>3</v>
      </c>
      <c r="J42" s="13" t="n">
        <v>4</v>
      </c>
      <c r="K42" s="14" t="n">
        <f aca="false">I42*J42</f>
        <v>12</v>
      </c>
      <c r="L42" s="13" t="str">
        <f aca="false">IF(I42=5,"Almost Certain",IF(I42=4,"Likely",IF(I42=3,"Possible",IF(I42=2,"Unlikely","Rare"))))</f>
        <v>Possible</v>
      </c>
      <c r="M42" s="13" t="str">
        <f aca="false">IF(K42&gt;=16,"Critical",IF(K42&gt;=9,"High",IF(K42&gt;=4,"Medium","Opportunistic")))</f>
        <v>High</v>
      </c>
      <c r="N42" s="13" t="n">
        <v>2</v>
      </c>
      <c r="O42" s="13" t="s">
        <v>124</v>
      </c>
    </row>
    <row r="43" customFormat="false" ht="32.8" hidden="false" customHeight="false" outlineLevel="0" collapsed="false">
      <c r="A43" s="12" t="s">
        <v>166</v>
      </c>
      <c r="B43" s="13" t="s">
        <v>80</v>
      </c>
      <c r="C43" s="13" t="s">
        <v>41</v>
      </c>
      <c r="D43" s="13" t="s">
        <v>145</v>
      </c>
      <c r="E43" s="13" t="s">
        <v>146</v>
      </c>
      <c r="F43" s="13" t="s">
        <v>167</v>
      </c>
      <c r="G43" s="13" t="s">
        <v>148</v>
      </c>
      <c r="H43" s="13" t="s">
        <v>37</v>
      </c>
      <c r="I43" s="13" t="n">
        <v>3</v>
      </c>
      <c r="J43" s="13" t="n">
        <v>4</v>
      </c>
      <c r="K43" s="14" t="n">
        <f aca="false">I43*J43</f>
        <v>12</v>
      </c>
      <c r="L43" s="13" t="str">
        <f aca="false">IF(I43=5,"Almost Certain",IF(I43=4,"Likely",IF(I43=3,"Possible",IF(I43=2,"Unlikely","Rare"))))</f>
        <v>Possible</v>
      </c>
      <c r="M43" s="13" t="str">
        <f aca="false">IF(K43&gt;=16,"Critical",IF(K43&gt;=9,"High",IF(K43&gt;=4,"Medium","Opportunistic")))</f>
        <v>High</v>
      </c>
      <c r="N43" s="13" t="n">
        <v>2</v>
      </c>
      <c r="O43" s="13" t="s">
        <v>124</v>
      </c>
    </row>
    <row r="44" customFormat="false" ht="32.8" hidden="false" customHeight="false" outlineLevel="0" collapsed="false">
      <c r="A44" s="12" t="s">
        <v>168</v>
      </c>
      <c r="B44" s="13" t="s">
        <v>80</v>
      </c>
      <c r="C44" s="13" t="s">
        <v>41</v>
      </c>
      <c r="D44" s="13" t="s">
        <v>140</v>
      </c>
      <c r="E44" s="13" t="s">
        <v>141</v>
      </c>
      <c r="F44" s="13" t="s">
        <v>169</v>
      </c>
      <c r="G44" s="13" t="s">
        <v>143</v>
      </c>
      <c r="H44" s="13" t="s">
        <v>37</v>
      </c>
      <c r="I44" s="13" t="n">
        <v>3</v>
      </c>
      <c r="J44" s="13" t="n">
        <v>4</v>
      </c>
      <c r="K44" s="14" t="n">
        <f aca="false">I44*J44</f>
        <v>12</v>
      </c>
      <c r="L44" s="13" t="str">
        <f aca="false">IF(I44=5,"Almost Certain",IF(I44=4,"Likely",IF(I44=3,"Possible",IF(I44=2,"Unlikely","Rare"))))</f>
        <v>Possible</v>
      </c>
      <c r="M44" s="13" t="str">
        <f aca="false">IF(K44&gt;=16,"Critical",IF(K44&gt;=9,"High",IF(K44&gt;=4,"Medium","Opportunistic")))</f>
        <v>High</v>
      </c>
      <c r="N44" s="13" t="n">
        <v>2</v>
      </c>
      <c r="O44" s="13" t="s">
        <v>124</v>
      </c>
    </row>
    <row r="45" customFormat="false" ht="53.7" hidden="false" customHeight="false" outlineLevel="0" collapsed="false">
      <c r="A45" s="12" t="s">
        <v>170</v>
      </c>
      <c r="B45" s="13" t="s">
        <v>40</v>
      </c>
      <c r="C45" s="13" t="s">
        <v>171</v>
      </c>
      <c r="D45" s="13" t="s">
        <v>172</v>
      </c>
      <c r="E45" s="13" t="s">
        <v>173</v>
      </c>
      <c r="F45" s="13" t="s">
        <v>174</v>
      </c>
      <c r="G45" s="13" t="s">
        <v>175</v>
      </c>
      <c r="H45" s="13" t="s">
        <v>37</v>
      </c>
      <c r="I45" s="13" t="n">
        <v>3</v>
      </c>
      <c r="J45" s="13" t="n">
        <v>4</v>
      </c>
      <c r="K45" s="14" t="n">
        <f aca="false">I45*J45</f>
        <v>12</v>
      </c>
      <c r="L45" s="13" t="str">
        <f aca="false">IF(I45=5,"Almost Certain",IF(I45=4,"Likely",IF(I45=3,"Possible",IF(I45=2,"Unlikely","Rare"))))</f>
        <v>Possible</v>
      </c>
      <c r="M45" s="13" t="str">
        <f aca="false">IF(K45&gt;=16,"Critical",IF(K45&gt;=9,"High",IF(K45&gt;=4,"Medium","Opportunistic")))</f>
        <v>High</v>
      </c>
      <c r="N45" s="13" t="n">
        <v>2</v>
      </c>
      <c r="O45" s="13" t="s">
        <v>53</v>
      </c>
    </row>
    <row r="46" customFormat="false" ht="53.7" hidden="false" customHeight="false" outlineLevel="0" collapsed="false">
      <c r="A46" s="12" t="s">
        <v>176</v>
      </c>
      <c r="B46" s="13" t="s">
        <v>40</v>
      </c>
      <c r="C46" s="13" t="s">
        <v>177</v>
      </c>
      <c r="D46" s="13" t="s">
        <v>172</v>
      </c>
      <c r="E46" s="13" t="s">
        <v>173</v>
      </c>
      <c r="F46" s="13" t="s">
        <v>178</v>
      </c>
      <c r="G46" s="13" t="s">
        <v>175</v>
      </c>
      <c r="H46" s="13" t="s">
        <v>37</v>
      </c>
      <c r="I46" s="13" t="n">
        <v>3</v>
      </c>
      <c r="J46" s="13" t="n">
        <v>4</v>
      </c>
      <c r="K46" s="14" t="n">
        <f aca="false">I46*J46</f>
        <v>12</v>
      </c>
      <c r="L46" s="13" t="str">
        <f aca="false">IF(I46=5,"Almost Certain",IF(I46=4,"Likely",IF(I46=3,"Possible",IF(I46=2,"Unlikely","Rare"))))</f>
        <v>Possible</v>
      </c>
      <c r="M46" s="13" t="str">
        <f aca="false">IF(K46&gt;=16,"Critical",IF(K46&gt;=9,"High",IF(K46&gt;=4,"Medium","Opportunistic")))</f>
        <v>High</v>
      </c>
      <c r="N46" s="13" t="n">
        <v>2</v>
      </c>
      <c r="O46" s="13" t="s">
        <v>53</v>
      </c>
    </row>
    <row r="47" customFormat="false" ht="53.7" hidden="false" customHeight="false" outlineLevel="0" collapsed="false">
      <c r="A47" s="12" t="s">
        <v>179</v>
      </c>
      <c r="B47" s="13" t="s">
        <v>40</v>
      </c>
      <c r="C47" s="13" t="s">
        <v>180</v>
      </c>
      <c r="D47" s="13" t="s">
        <v>172</v>
      </c>
      <c r="E47" s="13" t="s">
        <v>173</v>
      </c>
      <c r="F47" s="13" t="s">
        <v>181</v>
      </c>
      <c r="G47" s="13" t="s">
        <v>175</v>
      </c>
      <c r="H47" s="13" t="s">
        <v>37</v>
      </c>
      <c r="I47" s="13" t="n">
        <v>3</v>
      </c>
      <c r="J47" s="13" t="n">
        <v>4</v>
      </c>
      <c r="K47" s="14" t="n">
        <f aca="false">I47*J47</f>
        <v>12</v>
      </c>
      <c r="L47" s="13" t="str">
        <f aca="false">IF(I47=5,"Almost Certain",IF(I47=4,"Likely",IF(I47=3,"Possible",IF(I47=2,"Unlikely","Rare"))))</f>
        <v>Possible</v>
      </c>
      <c r="M47" s="13" t="str">
        <f aca="false">IF(K47&gt;=16,"Critical",IF(K47&gt;=9,"High",IF(K47&gt;=4,"Medium","Opportunistic")))</f>
        <v>High</v>
      </c>
      <c r="N47" s="13" t="n">
        <v>2</v>
      </c>
      <c r="O47" s="13" t="s">
        <v>53</v>
      </c>
    </row>
    <row r="48" customFormat="false" ht="53.7" hidden="false" customHeight="false" outlineLevel="0" collapsed="false">
      <c r="A48" s="12" t="s">
        <v>182</v>
      </c>
      <c r="B48" s="13" t="s">
        <v>40</v>
      </c>
      <c r="C48" s="13" t="s">
        <v>183</v>
      </c>
      <c r="D48" s="13" t="s">
        <v>172</v>
      </c>
      <c r="E48" s="13" t="s">
        <v>173</v>
      </c>
      <c r="F48" s="13" t="s">
        <v>184</v>
      </c>
      <c r="G48" s="13" t="s">
        <v>175</v>
      </c>
      <c r="H48" s="13" t="s">
        <v>37</v>
      </c>
      <c r="I48" s="13" t="n">
        <v>3</v>
      </c>
      <c r="J48" s="13" t="n">
        <v>4</v>
      </c>
      <c r="K48" s="14" t="n">
        <f aca="false">I48*J48</f>
        <v>12</v>
      </c>
      <c r="L48" s="13" t="str">
        <f aca="false">IF(I48=5,"Almost Certain",IF(I48=4,"Likely",IF(I48=3,"Possible",IF(I48=2,"Unlikely","Rare"))))</f>
        <v>Possible</v>
      </c>
      <c r="M48" s="13" t="str">
        <f aca="false">IF(K48&gt;=16,"Critical",IF(K48&gt;=9,"High",IF(K48&gt;=4,"Medium","Opportunistic")))</f>
        <v>High</v>
      </c>
      <c r="N48" s="13" t="n">
        <v>2</v>
      </c>
      <c r="O48" s="13" t="s">
        <v>53</v>
      </c>
    </row>
    <row r="49" customFormat="false" ht="43.25" hidden="false" customHeight="false" outlineLevel="0" collapsed="false">
      <c r="A49" s="12" t="s">
        <v>185</v>
      </c>
      <c r="B49" s="13" t="s">
        <v>40</v>
      </c>
      <c r="C49" s="13" t="s">
        <v>41</v>
      </c>
      <c r="D49" s="13" t="s">
        <v>186</v>
      </c>
      <c r="E49" s="13" t="s">
        <v>187</v>
      </c>
      <c r="F49" s="13" t="s">
        <v>188</v>
      </c>
      <c r="G49" s="13" t="s">
        <v>189</v>
      </c>
      <c r="H49" s="13" t="s">
        <v>37</v>
      </c>
      <c r="I49" s="13" t="n">
        <v>3</v>
      </c>
      <c r="J49" s="13" t="n">
        <v>4</v>
      </c>
      <c r="K49" s="14" t="n">
        <f aca="false">I49*J49</f>
        <v>12</v>
      </c>
      <c r="L49" s="13" t="str">
        <f aca="false">IF(I49=5,"Almost Certain",IF(I49=4,"Likely",IF(I49=3,"Possible",IF(I49=2,"Unlikely","Rare"))))</f>
        <v>Possible</v>
      </c>
      <c r="M49" s="13" t="str">
        <f aca="false">IF(K49&gt;=16,"Critical",IF(K49&gt;=9,"High",IF(K49&gt;=4,"Medium","Opportunistic")))</f>
        <v>High</v>
      </c>
      <c r="N49" s="13" t="n">
        <v>2</v>
      </c>
      <c r="O49" s="13" t="s">
        <v>53</v>
      </c>
    </row>
    <row r="50" customFormat="false" ht="32.8" hidden="false" customHeight="false" outlineLevel="0" collapsed="false">
      <c r="A50" s="12" t="s">
        <v>190</v>
      </c>
      <c r="B50" s="13" t="s">
        <v>80</v>
      </c>
      <c r="C50" s="13" t="s">
        <v>94</v>
      </c>
      <c r="D50" s="13" t="s">
        <v>140</v>
      </c>
      <c r="E50" s="13" t="s">
        <v>141</v>
      </c>
      <c r="F50" s="13" t="s">
        <v>191</v>
      </c>
      <c r="G50" s="13" t="s">
        <v>143</v>
      </c>
      <c r="H50" s="13" t="s">
        <v>37</v>
      </c>
      <c r="I50" s="13" t="n">
        <v>3</v>
      </c>
      <c r="J50" s="13" t="n">
        <v>4</v>
      </c>
      <c r="K50" s="14" t="n">
        <f aca="false">I50*J50</f>
        <v>12</v>
      </c>
      <c r="L50" s="13" t="str">
        <f aca="false">IF(I50=5,"Almost Certain",IF(I50=4,"Likely",IF(I50=3,"Possible",IF(I50=2,"Unlikely","Rare"))))</f>
        <v>Possible</v>
      </c>
      <c r="M50" s="13" t="str">
        <f aca="false">IF(K50&gt;=16,"Critical",IF(K50&gt;=9,"High",IF(K50&gt;=4,"Medium","Opportunistic")))</f>
        <v>High</v>
      </c>
      <c r="N50" s="13" t="n">
        <v>2</v>
      </c>
      <c r="O50" s="13" t="s">
        <v>112</v>
      </c>
    </row>
    <row r="51" customFormat="false" ht="32.8" hidden="false" customHeight="false" outlineLevel="0" collapsed="false">
      <c r="A51" s="12" t="s">
        <v>192</v>
      </c>
      <c r="B51" s="13" t="s">
        <v>80</v>
      </c>
      <c r="C51" s="13" t="s">
        <v>94</v>
      </c>
      <c r="D51" s="13" t="s">
        <v>145</v>
      </c>
      <c r="E51" s="13" t="s">
        <v>146</v>
      </c>
      <c r="F51" s="13" t="s">
        <v>193</v>
      </c>
      <c r="G51" s="13" t="s">
        <v>148</v>
      </c>
      <c r="H51" s="13" t="s">
        <v>37</v>
      </c>
      <c r="I51" s="13" t="n">
        <v>3</v>
      </c>
      <c r="J51" s="13" t="n">
        <v>4</v>
      </c>
      <c r="K51" s="14" t="n">
        <f aca="false">I51*J51</f>
        <v>12</v>
      </c>
      <c r="L51" s="13" t="str">
        <f aca="false">IF(I51=5,"Almost Certain",IF(I51=4,"Likely",IF(I51=3,"Possible",IF(I51=2,"Unlikely","Rare"))))</f>
        <v>Possible</v>
      </c>
      <c r="M51" s="13" t="str">
        <f aca="false">IF(K51&gt;=16,"Critical",IF(K51&gt;=9,"High",IF(K51&gt;=4,"Medium","Opportunistic")))</f>
        <v>High</v>
      </c>
      <c r="N51" s="13" t="n">
        <v>2</v>
      </c>
      <c r="O51" s="13" t="s">
        <v>112</v>
      </c>
    </row>
    <row r="52" customFormat="false" ht="32.8" hidden="false" customHeight="false" outlineLevel="0" collapsed="false">
      <c r="A52" s="12" t="s">
        <v>194</v>
      </c>
      <c r="B52" s="13" t="s">
        <v>80</v>
      </c>
      <c r="C52" s="13" t="s">
        <v>94</v>
      </c>
      <c r="D52" s="13" t="s">
        <v>150</v>
      </c>
      <c r="E52" s="13" t="s">
        <v>151</v>
      </c>
      <c r="F52" s="13" t="s">
        <v>195</v>
      </c>
      <c r="G52" s="13" t="s">
        <v>153</v>
      </c>
      <c r="H52" s="13" t="s">
        <v>37</v>
      </c>
      <c r="I52" s="13" t="n">
        <v>3</v>
      </c>
      <c r="J52" s="13" t="n">
        <v>4</v>
      </c>
      <c r="K52" s="14" t="n">
        <f aca="false">I52*J52</f>
        <v>12</v>
      </c>
      <c r="L52" s="13" t="str">
        <f aca="false">IF(I52=5,"Almost Certain",IF(I52=4,"Likely",IF(I52=3,"Possible",IF(I52=2,"Unlikely","Rare"))))</f>
        <v>Possible</v>
      </c>
      <c r="M52" s="13" t="str">
        <f aca="false">IF(K52&gt;=16,"Critical",IF(K52&gt;=9,"High",IF(K52&gt;=4,"Medium","Opportunistic")))</f>
        <v>High</v>
      </c>
      <c r="N52" s="13" t="n">
        <v>2</v>
      </c>
      <c r="O52" s="13" t="s">
        <v>112</v>
      </c>
    </row>
    <row r="53" customFormat="false" ht="32.8" hidden="false" customHeight="false" outlineLevel="0" collapsed="false">
      <c r="A53" s="12" t="s">
        <v>196</v>
      </c>
      <c r="B53" s="13" t="s">
        <v>80</v>
      </c>
      <c r="C53" s="13" t="s">
        <v>96</v>
      </c>
      <c r="D53" s="13" t="s">
        <v>140</v>
      </c>
      <c r="E53" s="13" t="s">
        <v>141</v>
      </c>
      <c r="F53" s="13" t="s">
        <v>197</v>
      </c>
      <c r="G53" s="13" t="s">
        <v>143</v>
      </c>
      <c r="H53" s="13" t="s">
        <v>37</v>
      </c>
      <c r="I53" s="13" t="n">
        <v>3</v>
      </c>
      <c r="J53" s="13" t="n">
        <v>4</v>
      </c>
      <c r="K53" s="14" t="n">
        <f aca="false">I53*J53</f>
        <v>12</v>
      </c>
      <c r="L53" s="13" t="str">
        <f aca="false">IF(I53=5,"Almost Certain",IF(I53=4,"Likely",IF(I53=3,"Possible",IF(I53=2,"Unlikely","Rare"))))</f>
        <v>Possible</v>
      </c>
      <c r="M53" s="13" t="str">
        <f aca="false">IF(K53&gt;=16,"Critical",IF(K53&gt;=9,"High",IF(K53&gt;=4,"Medium","Opportunistic")))</f>
        <v>High</v>
      </c>
      <c r="N53" s="13" t="n">
        <v>2</v>
      </c>
      <c r="O53" s="13" t="s">
        <v>112</v>
      </c>
    </row>
    <row r="54" customFormat="false" ht="43.25" hidden="false" customHeight="false" outlineLevel="0" collapsed="false">
      <c r="A54" s="12" t="s">
        <v>198</v>
      </c>
      <c r="B54" s="13" t="s">
        <v>80</v>
      </c>
      <c r="C54" s="13" t="s">
        <v>98</v>
      </c>
      <c r="D54" s="13" t="s">
        <v>145</v>
      </c>
      <c r="E54" s="13" t="s">
        <v>146</v>
      </c>
      <c r="F54" s="13" t="s">
        <v>199</v>
      </c>
      <c r="G54" s="13" t="s">
        <v>148</v>
      </c>
      <c r="H54" s="13" t="s">
        <v>37</v>
      </c>
      <c r="I54" s="13" t="n">
        <v>3</v>
      </c>
      <c r="J54" s="13" t="n">
        <v>4</v>
      </c>
      <c r="K54" s="14" t="n">
        <f aca="false">I54*J54</f>
        <v>12</v>
      </c>
      <c r="L54" s="13" t="str">
        <f aca="false">IF(I54=5,"Almost Certain",IF(I54=4,"Likely",IF(I54=3,"Possible",IF(I54=2,"Unlikely","Rare"))))</f>
        <v>Possible</v>
      </c>
      <c r="M54" s="13" t="str">
        <f aca="false">IF(K54&gt;=16,"Critical",IF(K54&gt;=9,"High",IF(K54&gt;=4,"Medium","Opportunistic")))</f>
        <v>High</v>
      </c>
      <c r="N54" s="13" t="n">
        <v>2</v>
      </c>
      <c r="O54" s="13" t="s">
        <v>112</v>
      </c>
    </row>
    <row r="55" customFormat="false" ht="43.25" hidden="false" customHeight="false" outlineLevel="0" collapsed="false">
      <c r="A55" s="12" t="s">
        <v>200</v>
      </c>
      <c r="B55" s="13" t="s">
        <v>80</v>
      </c>
      <c r="C55" s="13" t="s">
        <v>98</v>
      </c>
      <c r="D55" s="13" t="s">
        <v>150</v>
      </c>
      <c r="E55" s="13" t="s">
        <v>151</v>
      </c>
      <c r="F55" s="13" t="s">
        <v>201</v>
      </c>
      <c r="G55" s="13" t="s">
        <v>153</v>
      </c>
      <c r="H55" s="13" t="s">
        <v>37</v>
      </c>
      <c r="I55" s="13" t="n">
        <v>3</v>
      </c>
      <c r="J55" s="13" t="n">
        <v>4</v>
      </c>
      <c r="K55" s="14" t="n">
        <f aca="false">I55*J55</f>
        <v>12</v>
      </c>
      <c r="L55" s="13" t="str">
        <f aca="false">IF(I55=5,"Almost Certain",IF(I55=4,"Likely",IF(I55=3,"Possible",IF(I55=2,"Unlikely","Rare"))))</f>
        <v>Possible</v>
      </c>
      <c r="M55" s="13" t="str">
        <f aca="false">IF(K55&gt;=16,"Critical",IF(K55&gt;=9,"High",IF(K55&gt;=4,"Medium","Opportunistic")))</f>
        <v>High</v>
      </c>
      <c r="N55" s="13" t="n">
        <v>2</v>
      </c>
      <c r="O55" s="13" t="s">
        <v>112</v>
      </c>
    </row>
    <row r="56" customFormat="false" ht="32.8" hidden="false" customHeight="false" outlineLevel="0" collapsed="false">
      <c r="A56" s="12" t="s">
        <v>202</v>
      </c>
      <c r="B56" s="13" t="s">
        <v>80</v>
      </c>
      <c r="C56" s="13" t="s">
        <v>101</v>
      </c>
      <c r="D56" s="13" t="s">
        <v>145</v>
      </c>
      <c r="E56" s="13" t="s">
        <v>146</v>
      </c>
      <c r="F56" s="13" t="s">
        <v>203</v>
      </c>
      <c r="G56" s="13" t="s">
        <v>148</v>
      </c>
      <c r="H56" s="13" t="s">
        <v>37</v>
      </c>
      <c r="I56" s="13" t="n">
        <v>3</v>
      </c>
      <c r="J56" s="13" t="n">
        <v>4</v>
      </c>
      <c r="K56" s="14" t="n">
        <f aca="false">I56*J56</f>
        <v>12</v>
      </c>
      <c r="L56" s="13" t="str">
        <f aca="false">IF(I56=5,"Almost Certain",IF(I56=4,"Likely",IF(I56=3,"Possible",IF(I56=2,"Unlikely","Rare"))))</f>
        <v>Possible</v>
      </c>
      <c r="M56" s="13" t="str">
        <f aca="false">IF(K56&gt;=16,"Critical",IF(K56&gt;=9,"High",IF(K56&gt;=4,"Medium","Opportunistic")))</f>
        <v>High</v>
      </c>
      <c r="N56" s="13" t="n">
        <v>2</v>
      </c>
      <c r="O56" s="13" t="s">
        <v>112</v>
      </c>
    </row>
    <row r="57" customFormat="false" ht="32.8" hidden="false" customHeight="false" outlineLevel="0" collapsed="false">
      <c r="A57" s="12" t="s">
        <v>204</v>
      </c>
      <c r="B57" s="13" t="s">
        <v>80</v>
      </c>
      <c r="C57" s="13" t="s">
        <v>101</v>
      </c>
      <c r="D57" s="13" t="s">
        <v>150</v>
      </c>
      <c r="E57" s="13" t="s">
        <v>151</v>
      </c>
      <c r="F57" s="13" t="s">
        <v>205</v>
      </c>
      <c r="G57" s="13" t="s">
        <v>153</v>
      </c>
      <c r="H57" s="13" t="s">
        <v>37</v>
      </c>
      <c r="I57" s="13" t="n">
        <v>3</v>
      </c>
      <c r="J57" s="13" t="n">
        <v>4</v>
      </c>
      <c r="K57" s="14" t="n">
        <f aca="false">I57*J57</f>
        <v>12</v>
      </c>
      <c r="L57" s="13" t="str">
        <f aca="false">IF(I57=5,"Almost Certain",IF(I57=4,"Likely",IF(I57=3,"Possible",IF(I57=2,"Unlikely","Rare"))))</f>
        <v>Possible</v>
      </c>
      <c r="M57" s="13" t="str">
        <f aca="false">IF(K57&gt;=16,"Critical",IF(K57&gt;=9,"High",IF(K57&gt;=4,"Medium","Opportunistic")))</f>
        <v>High</v>
      </c>
      <c r="N57" s="13" t="n">
        <v>2</v>
      </c>
      <c r="O57" s="13" t="s">
        <v>112</v>
      </c>
    </row>
    <row r="58" customFormat="false" ht="32.8" hidden="false" customHeight="false" outlineLevel="0" collapsed="false">
      <c r="A58" s="12" t="s">
        <v>206</v>
      </c>
      <c r="B58" s="13" t="s">
        <v>80</v>
      </c>
      <c r="C58" s="13" t="s">
        <v>81</v>
      </c>
      <c r="D58" s="13" t="s">
        <v>207</v>
      </c>
      <c r="E58" s="13" t="s">
        <v>208</v>
      </c>
      <c r="F58" s="13" t="s">
        <v>209</v>
      </c>
      <c r="G58" s="13" t="s">
        <v>210</v>
      </c>
      <c r="H58" s="13" t="s">
        <v>37</v>
      </c>
      <c r="I58" s="13" t="n">
        <v>2</v>
      </c>
      <c r="J58" s="13" t="n">
        <v>5</v>
      </c>
      <c r="K58" s="14" t="n">
        <f aca="false">I58*J58</f>
        <v>10</v>
      </c>
      <c r="L58" s="13" t="str">
        <f aca="false">IF(I58=5,"Almost Certain",IF(I58=4,"Likely",IF(I58=3,"Possible",IF(I58=2,"Unlikely","Rare"))))</f>
        <v>Unlikely</v>
      </c>
      <c r="M58" s="13" t="str">
        <f aca="false">IF(K58&gt;=16,"Critical",IF(K58&gt;=9,"High",IF(K58&gt;=4,"Medium","Opportunistic")))</f>
        <v>High</v>
      </c>
      <c r="N58" s="13" t="n">
        <v>2</v>
      </c>
      <c r="O58" s="13" t="s">
        <v>112</v>
      </c>
    </row>
    <row r="59" customFormat="false" ht="32.8" hidden="false" customHeight="false" outlineLevel="0" collapsed="false">
      <c r="A59" s="12" t="s">
        <v>211</v>
      </c>
      <c r="B59" s="13" t="s">
        <v>80</v>
      </c>
      <c r="C59" s="13" t="s">
        <v>81</v>
      </c>
      <c r="D59" s="13" t="s">
        <v>212</v>
      </c>
      <c r="E59" s="13" t="s">
        <v>213</v>
      </c>
      <c r="F59" s="13" t="s">
        <v>142</v>
      </c>
      <c r="G59" s="13" t="s">
        <v>214</v>
      </c>
      <c r="H59" s="13" t="s">
        <v>37</v>
      </c>
      <c r="I59" s="13" t="n">
        <v>2</v>
      </c>
      <c r="J59" s="13" t="n">
        <v>5</v>
      </c>
      <c r="K59" s="14" t="n">
        <f aca="false">I59*J59</f>
        <v>10</v>
      </c>
      <c r="L59" s="13" t="str">
        <f aca="false">IF(I59=5,"Almost Certain",IF(I59=4,"Likely",IF(I59=3,"Possible",IF(I59=2,"Unlikely","Rare"))))</f>
        <v>Unlikely</v>
      </c>
      <c r="M59" s="13" t="str">
        <f aca="false">IF(K59&gt;=16,"Critical",IF(K59&gt;=9,"High",IF(K59&gt;=4,"Medium","Opportunistic")))</f>
        <v>High</v>
      </c>
      <c r="N59" s="13" t="n">
        <v>2</v>
      </c>
      <c r="O59" s="13" t="s">
        <v>112</v>
      </c>
    </row>
    <row r="60" customFormat="false" ht="32.8" hidden="false" customHeight="false" outlineLevel="0" collapsed="false">
      <c r="A60" s="12" t="s">
        <v>215</v>
      </c>
      <c r="B60" s="13" t="s">
        <v>80</v>
      </c>
      <c r="C60" s="13" t="s">
        <v>81</v>
      </c>
      <c r="D60" s="13" t="s">
        <v>216</v>
      </c>
      <c r="E60" s="13" t="s">
        <v>217</v>
      </c>
      <c r="F60" s="13" t="s">
        <v>110</v>
      </c>
      <c r="G60" s="13" t="s">
        <v>218</v>
      </c>
      <c r="H60" s="13" t="s">
        <v>37</v>
      </c>
      <c r="I60" s="13" t="n">
        <v>2</v>
      </c>
      <c r="J60" s="13" t="n">
        <v>5</v>
      </c>
      <c r="K60" s="14" t="n">
        <f aca="false">I60*J60</f>
        <v>10</v>
      </c>
      <c r="L60" s="13" t="str">
        <f aca="false">IF(I60=5,"Almost Certain",IF(I60=4,"Likely",IF(I60=3,"Possible",IF(I60=2,"Unlikely","Rare"))))</f>
        <v>Unlikely</v>
      </c>
      <c r="M60" s="13" t="str">
        <f aca="false">IF(K60&gt;=16,"Critical",IF(K60&gt;=9,"High",IF(K60&gt;=4,"Medium","Opportunistic")))</f>
        <v>High</v>
      </c>
      <c r="N60" s="13" t="n">
        <v>2</v>
      </c>
      <c r="O60" s="13" t="s">
        <v>112</v>
      </c>
    </row>
    <row r="61" customFormat="false" ht="32.8" hidden="false" customHeight="false" outlineLevel="0" collapsed="false">
      <c r="A61" s="12" t="s">
        <v>219</v>
      </c>
      <c r="B61" s="13" t="s">
        <v>80</v>
      </c>
      <c r="C61" s="13" t="s">
        <v>81</v>
      </c>
      <c r="D61" s="13" t="s">
        <v>220</v>
      </c>
      <c r="E61" s="13" t="s">
        <v>221</v>
      </c>
      <c r="F61" s="13" t="s">
        <v>222</v>
      </c>
      <c r="G61" s="13" t="s">
        <v>223</v>
      </c>
      <c r="H61" s="13" t="s">
        <v>37</v>
      </c>
      <c r="I61" s="13" t="n">
        <v>2</v>
      </c>
      <c r="J61" s="13" t="n">
        <v>5</v>
      </c>
      <c r="K61" s="14" t="n">
        <f aca="false">I61*J61</f>
        <v>10</v>
      </c>
      <c r="L61" s="13" t="str">
        <f aca="false">IF(I61=5,"Almost Certain",IF(I61=4,"Likely",IF(I61=3,"Possible",IF(I61=2,"Unlikely","Rare"))))</f>
        <v>Unlikely</v>
      </c>
      <c r="M61" s="13" t="str">
        <f aca="false">IF(K61&gt;=16,"Critical",IF(K61&gt;=9,"High",IF(K61&gt;=4,"Medium","Opportunistic")))</f>
        <v>High</v>
      </c>
      <c r="N61" s="13" t="n">
        <v>4</v>
      </c>
      <c r="O61" s="13" t="s">
        <v>112</v>
      </c>
    </row>
    <row r="62" customFormat="false" ht="43.25" hidden="false" customHeight="false" outlineLevel="0" collapsed="false">
      <c r="A62" s="12" t="s">
        <v>224</v>
      </c>
      <c r="B62" s="13" t="s">
        <v>80</v>
      </c>
      <c r="C62" s="13" t="s">
        <v>81</v>
      </c>
      <c r="D62" s="13" t="s">
        <v>225</v>
      </c>
      <c r="E62" s="13" t="s">
        <v>226</v>
      </c>
      <c r="F62" s="13" t="s">
        <v>227</v>
      </c>
      <c r="G62" s="13" t="s">
        <v>228</v>
      </c>
      <c r="H62" s="13" t="s">
        <v>37</v>
      </c>
      <c r="I62" s="13" t="n">
        <v>2</v>
      </c>
      <c r="J62" s="13" t="n">
        <v>5</v>
      </c>
      <c r="K62" s="14" t="n">
        <f aca="false">I62*J62</f>
        <v>10</v>
      </c>
      <c r="L62" s="13" t="str">
        <f aca="false">IF(I62=5,"Almost Certain",IF(I62=4,"Likely",IF(I62=3,"Possible",IF(I62=2,"Unlikely","Rare"))))</f>
        <v>Unlikely</v>
      </c>
      <c r="M62" s="13" t="str">
        <f aca="false">IF(K62&gt;=16,"Critical",IF(K62&gt;=9,"High",IF(K62&gt;=4,"Medium","Opportunistic")))</f>
        <v>High</v>
      </c>
      <c r="N62" s="13" t="n">
        <v>2</v>
      </c>
      <c r="O62" s="13" t="s">
        <v>112</v>
      </c>
    </row>
    <row r="63" customFormat="false" ht="32.8" hidden="false" customHeight="false" outlineLevel="0" collapsed="false">
      <c r="A63" s="12" t="s">
        <v>229</v>
      </c>
      <c r="B63" s="13" t="s">
        <v>80</v>
      </c>
      <c r="C63" s="13" t="s">
        <v>87</v>
      </c>
      <c r="D63" s="13" t="s">
        <v>207</v>
      </c>
      <c r="E63" s="13" t="s">
        <v>208</v>
      </c>
      <c r="F63" s="13" t="s">
        <v>230</v>
      </c>
      <c r="G63" s="13" t="s">
        <v>210</v>
      </c>
      <c r="H63" s="13" t="s">
        <v>37</v>
      </c>
      <c r="I63" s="13" t="n">
        <v>2</v>
      </c>
      <c r="J63" s="13" t="n">
        <v>5</v>
      </c>
      <c r="K63" s="14" t="n">
        <f aca="false">I63*J63</f>
        <v>10</v>
      </c>
      <c r="L63" s="13" t="str">
        <f aca="false">IF(I63=5,"Almost Certain",IF(I63=4,"Likely",IF(I63=3,"Possible",IF(I63=2,"Unlikely","Rare"))))</f>
        <v>Unlikely</v>
      </c>
      <c r="M63" s="13" t="str">
        <f aca="false">IF(K63&gt;=16,"Critical",IF(K63&gt;=9,"High",IF(K63&gt;=4,"Medium","Opportunistic")))</f>
        <v>High</v>
      </c>
      <c r="N63" s="13" t="n">
        <v>2</v>
      </c>
      <c r="O63" s="13" t="s">
        <v>112</v>
      </c>
    </row>
    <row r="64" customFormat="false" ht="32.8" hidden="false" customHeight="false" outlineLevel="0" collapsed="false">
      <c r="A64" s="12" t="s">
        <v>231</v>
      </c>
      <c r="B64" s="13" t="s">
        <v>80</v>
      </c>
      <c r="C64" s="13" t="s">
        <v>87</v>
      </c>
      <c r="D64" s="13" t="s">
        <v>216</v>
      </c>
      <c r="E64" s="13" t="s">
        <v>217</v>
      </c>
      <c r="F64" s="13" t="s">
        <v>115</v>
      </c>
      <c r="G64" s="13" t="s">
        <v>218</v>
      </c>
      <c r="H64" s="13" t="s">
        <v>37</v>
      </c>
      <c r="I64" s="13" t="n">
        <v>2</v>
      </c>
      <c r="J64" s="13" t="n">
        <v>5</v>
      </c>
      <c r="K64" s="14" t="n">
        <f aca="false">I64*J64</f>
        <v>10</v>
      </c>
      <c r="L64" s="13" t="str">
        <f aca="false">IF(I64=5,"Almost Certain",IF(I64=4,"Likely",IF(I64=3,"Possible",IF(I64=2,"Unlikely","Rare"))))</f>
        <v>Unlikely</v>
      </c>
      <c r="M64" s="13" t="str">
        <f aca="false">IF(K64&gt;=16,"Critical",IF(K64&gt;=9,"High",IF(K64&gt;=4,"Medium","Opportunistic")))</f>
        <v>High</v>
      </c>
      <c r="N64" s="13" t="n">
        <v>2</v>
      </c>
      <c r="O64" s="13" t="s">
        <v>112</v>
      </c>
    </row>
    <row r="65" customFormat="false" ht="32.8" hidden="false" customHeight="false" outlineLevel="0" collapsed="false">
      <c r="A65" s="12" t="s">
        <v>232</v>
      </c>
      <c r="B65" s="13" t="s">
        <v>80</v>
      </c>
      <c r="C65" s="13" t="s">
        <v>87</v>
      </c>
      <c r="D65" s="13" t="s">
        <v>220</v>
      </c>
      <c r="E65" s="13" t="s">
        <v>221</v>
      </c>
      <c r="F65" s="13" t="s">
        <v>233</v>
      </c>
      <c r="G65" s="13" t="s">
        <v>223</v>
      </c>
      <c r="H65" s="13" t="s">
        <v>37</v>
      </c>
      <c r="I65" s="13" t="n">
        <v>2</v>
      </c>
      <c r="J65" s="13" t="n">
        <v>5</v>
      </c>
      <c r="K65" s="14" t="n">
        <f aca="false">I65*J65</f>
        <v>10</v>
      </c>
      <c r="L65" s="13" t="str">
        <f aca="false">IF(I65=5,"Almost Certain",IF(I65=4,"Likely",IF(I65=3,"Possible",IF(I65=2,"Unlikely","Rare"))))</f>
        <v>Unlikely</v>
      </c>
      <c r="M65" s="13" t="str">
        <f aca="false">IF(K65&gt;=16,"Critical",IF(K65&gt;=9,"High",IF(K65&gt;=4,"Medium","Opportunistic")))</f>
        <v>High</v>
      </c>
      <c r="N65" s="13" t="n">
        <v>4</v>
      </c>
      <c r="O65" s="13" t="s">
        <v>112</v>
      </c>
    </row>
    <row r="66" customFormat="false" ht="43.25" hidden="false" customHeight="false" outlineLevel="0" collapsed="false">
      <c r="A66" s="12" t="s">
        <v>234</v>
      </c>
      <c r="B66" s="13" t="s">
        <v>80</v>
      </c>
      <c r="C66" s="13" t="s">
        <v>87</v>
      </c>
      <c r="D66" s="13" t="s">
        <v>225</v>
      </c>
      <c r="E66" s="13" t="s">
        <v>226</v>
      </c>
      <c r="F66" s="13" t="s">
        <v>235</v>
      </c>
      <c r="G66" s="13" t="s">
        <v>228</v>
      </c>
      <c r="H66" s="13" t="s">
        <v>37</v>
      </c>
      <c r="I66" s="13" t="n">
        <v>2</v>
      </c>
      <c r="J66" s="13" t="n">
        <v>5</v>
      </c>
      <c r="K66" s="14" t="n">
        <f aca="false">I66*J66</f>
        <v>10</v>
      </c>
      <c r="L66" s="13" t="str">
        <f aca="false">IF(I66=5,"Almost Certain",IF(I66=4,"Likely",IF(I66=3,"Possible",IF(I66=2,"Unlikely","Rare"))))</f>
        <v>Unlikely</v>
      </c>
      <c r="M66" s="13" t="str">
        <f aca="false">IF(K66&gt;=16,"Critical",IF(K66&gt;=9,"High",IF(K66&gt;=4,"Medium","Opportunistic")))</f>
        <v>High</v>
      </c>
      <c r="N66" s="13" t="n">
        <v>2</v>
      </c>
      <c r="O66" s="13" t="s">
        <v>112</v>
      </c>
    </row>
    <row r="67" customFormat="false" ht="32.8" hidden="false" customHeight="false" outlineLevel="0" collapsed="false">
      <c r="A67" s="12" t="s">
        <v>236</v>
      </c>
      <c r="B67" s="13" t="s">
        <v>80</v>
      </c>
      <c r="C67" s="13" t="s">
        <v>87</v>
      </c>
      <c r="D67" s="13" t="s">
        <v>237</v>
      </c>
      <c r="E67" s="13" t="s">
        <v>238</v>
      </c>
      <c r="F67" s="13" t="s">
        <v>239</v>
      </c>
      <c r="G67" s="13" t="s">
        <v>240</v>
      </c>
      <c r="H67" s="13" t="s">
        <v>37</v>
      </c>
      <c r="I67" s="13" t="n">
        <v>2</v>
      </c>
      <c r="J67" s="13" t="n">
        <v>5</v>
      </c>
      <c r="K67" s="14" t="n">
        <f aca="false">I67*J67</f>
        <v>10</v>
      </c>
      <c r="L67" s="13" t="str">
        <f aca="false">IF(I67=5,"Almost Certain",IF(I67=4,"Likely",IF(I67=3,"Possible",IF(I67=2,"Unlikely","Rare"))))</f>
        <v>Unlikely</v>
      </c>
      <c r="M67" s="13" t="str">
        <f aca="false">IF(K67&gt;=16,"Critical",IF(K67&gt;=9,"High",IF(K67&gt;=4,"Medium","Opportunistic")))</f>
        <v>High</v>
      </c>
      <c r="N67" s="13" t="n">
        <v>2</v>
      </c>
      <c r="O67" s="13" t="s">
        <v>112</v>
      </c>
    </row>
    <row r="68" customFormat="false" ht="32.8" hidden="false" customHeight="false" outlineLevel="0" collapsed="false">
      <c r="A68" s="12" t="s">
        <v>241</v>
      </c>
      <c r="B68" s="13" t="s">
        <v>80</v>
      </c>
      <c r="C68" s="13" t="s">
        <v>87</v>
      </c>
      <c r="D68" s="13" t="s">
        <v>242</v>
      </c>
      <c r="E68" s="13" t="s">
        <v>243</v>
      </c>
      <c r="F68" s="13" t="s">
        <v>244</v>
      </c>
      <c r="G68" s="13" t="s">
        <v>245</v>
      </c>
      <c r="H68" s="13" t="s">
        <v>37</v>
      </c>
      <c r="I68" s="13" t="n">
        <v>2</v>
      </c>
      <c r="J68" s="13" t="n">
        <v>5</v>
      </c>
      <c r="K68" s="14" t="n">
        <f aca="false">I68*J68</f>
        <v>10</v>
      </c>
      <c r="L68" s="13" t="str">
        <f aca="false">IF(I68=5,"Almost Certain",IF(I68=4,"Likely",IF(I68=3,"Possible",IF(I68=2,"Unlikely","Rare"))))</f>
        <v>Unlikely</v>
      </c>
      <c r="M68" s="13" t="str">
        <f aca="false">IF(K68&gt;=16,"Critical",IF(K68&gt;=9,"High",IF(K68&gt;=4,"Medium","Opportunistic")))</f>
        <v>High</v>
      </c>
      <c r="N68" s="13" t="n">
        <v>2</v>
      </c>
      <c r="O68" s="13" t="s">
        <v>246</v>
      </c>
    </row>
    <row r="69" customFormat="false" ht="32.8" hidden="false" customHeight="false" outlineLevel="0" collapsed="false">
      <c r="A69" s="12" t="s">
        <v>247</v>
      </c>
      <c r="B69" s="13" t="s">
        <v>80</v>
      </c>
      <c r="C69" s="13" t="s">
        <v>89</v>
      </c>
      <c r="D69" s="13" t="s">
        <v>207</v>
      </c>
      <c r="E69" s="13" t="s">
        <v>208</v>
      </c>
      <c r="F69" s="13" t="s">
        <v>248</v>
      </c>
      <c r="G69" s="13" t="s">
        <v>210</v>
      </c>
      <c r="H69" s="13" t="s">
        <v>37</v>
      </c>
      <c r="I69" s="13" t="n">
        <v>2</v>
      </c>
      <c r="J69" s="13" t="n">
        <v>5</v>
      </c>
      <c r="K69" s="14" t="n">
        <f aca="false">I69*J69</f>
        <v>10</v>
      </c>
      <c r="L69" s="13" t="str">
        <f aca="false">IF(I69=5,"Almost Certain",IF(I69=4,"Likely",IF(I69=3,"Possible",IF(I69=2,"Unlikely","Rare"))))</f>
        <v>Unlikely</v>
      </c>
      <c r="M69" s="13" t="str">
        <f aca="false">IF(K69&gt;=16,"Critical",IF(K69&gt;=9,"High",IF(K69&gt;=4,"Medium","Opportunistic")))</f>
        <v>High</v>
      </c>
      <c r="N69" s="13" t="n">
        <v>2</v>
      </c>
      <c r="O69" s="13" t="s">
        <v>112</v>
      </c>
    </row>
    <row r="70" customFormat="false" ht="32.8" hidden="false" customHeight="false" outlineLevel="0" collapsed="false">
      <c r="A70" s="12" t="s">
        <v>249</v>
      </c>
      <c r="B70" s="13" t="s">
        <v>80</v>
      </c>
      <c r="C70" s="13" t="s">
        <v>89</v>
      </c>
      <c r="D70" s="13" t="s">
        <v>250</v>
      </c>
      <c r="E70" s="13" t="s">
        <v>251</v>
      </c>
      <c r="F70" s="13" t="s">
        <v>252</v>
      </c>
      <c r="G70" s="13" t="s">
        <v>253</v>
      </c>
      <c r="H70" s="13" t="s">
        <v>37</v>
      </c>
      <c r="I70" s="13" t="n">
        <v>2</v>
      </c>
      <c r="J70" s="13" t="n">
        <v>5</v>
      </c>
      <c r="K70" s="14" t="n">
        <f aca="false">I70*J70</f>
        <v>10</v>
      </c>
      <c r="L70" s="13" t="str">
        <f aca="false">IF(I70=5,"Almost Certain",IF(I70=4,"Likely",IF(I70=3,"Possible",IF(I70=2,"Unlikely","Rare"))))</f>
        <v>Unlikely</v>
      </c>
      <c r="M70" s="13" t="str">
        <f aca="false">IF(K70&gt;=16,"Critical",IF(K70&gt;=9,"High",IF(K70&gt;=4,"Medium","Opportunistic")))</f>
        <v>High</v>
      </c>
      <c r="N70" s="13" t="n">
        <v>2</v>
      </c>
      <c r="O70" s="13" t="s">
        <v>112</v>
      </c>
    </row>
    <row r="71" customFormat="false" ht="32.8" hidden="false" customHeight="false" outlineLevel="0" collapsed="false">
      <c r="A71" s="12" t="s">
        <v>254</v>
      </c>
      <c r="B71" s="13" t="s">
        <v>80</v>
      </c>
      <c r="C71" s="13" t="s">
        <v>89</v>
      </c>
      <c r="D71" s="13" t="s">
        <v>212</v>
      </c>
      <c r="E71" s="13" t="s">
        <v>213</v>
      </c>
      <c r="F71" s="13" t="s">
        <v>159</v>
      </c>
      <c r="G71" s="13" t="s">
        <v>214</v>
      </c>
      <c r="H71" s="13" t="s">
        <v>37</v>
      </c>
      <c r="I71" s="13" t="n">
        <v>2</v>
      </c>
      <c r="J71" s="13" t="n">
        <v>5</v>
      </c>
      <c r="K71" s="14" t="n">
        <f aca="false">I71*J71</f>
        <v>10</v>
      </c>
      <c r="L71" s="13" t="str">
        <f aca="false">IF(I71=5,"Almost Certain",IF(I71=4,"Likely",IF(I71=3,"Possible",IF(I71=2,"Unlikely","Rare"))))</f>
        <v>Unlikely</v>
      </c>
      <c r="M71" s="13" t="str">
        <f aca="false">IF(K71&gt;=16,"Critical",IF(K71&gt;=9,"High",IF(K71&gt;=4,"Medium","Opportunistic")))</f>
        <v>High</v>
      </c>
      <c r="N71" s="13" t="n">
        <v>2</v>
      </c>
      <c r="O71" s="13" t="s">
        <v>112</v>
      </c>
    </row>
    <row r="72" customFormat="false" ht="32.8" hidden="false" customHeight="false" outlineLevel="0" collapsed="false">
      <c r="A72" s="12" t="s">
        <v>255</v>
      </c>
      <c r="B72" s="13" t="s">
        <v>80</v>
      </c>
      <c r="C72" s="13" t="s">
        <v>89</v>
      </c>
      <c r="D72" s="13" t="s">
        <v>216</v>
      </c>
      <c r="E72" s="13" t="s">
        <v>217</v>
      </c>
      <c r="F72" s="13" t="s">
        <v>119</v>
      </c>
      <c r="G72" s="13" t="s">
        <v>218</v>
      </c>
      <c r="H72" s="13" t="s">
        <v>37</v>
      </c>
      <c r="I72" s="13" t="n">
        <v>2</v>
      </c>
      <c r="J72" s="13" t="n">
        <v>5</v>
      </c>
      <c r="K72" s="14" t="n">
        <f aca="false">I72*J72</f>
        <v>10</v>
      </c>
      <c r="L72" s="13" t="str">
        <f aca="false">IF(I72=5,"Almost Certain",IF(I72=4,"Likely",IF(I72=3,"Possible",IF(I72=2,"Unlikely","Rare"))))</f>
        <v>Unlikely</v>
      </c>
      <c r="M72" s="13" t="str">
        <f aca="false">IF(K72&gt;=16,"Critical",IF(K72&gt;=9,"High",IF(K72&gt;=4,"Medium","Opportunistic")))</f>
        <v>High</v>
      </c>
      <c r="N72" s="13" t="n">
        <v>2</v>
      </c>
      <c r="O72" s="13" t="s">
        <v>112</v>
      </c>
    </row>
    <row r="73" customFormat="false" ht="32.8" hidden="false" customHeight="false" outlineLevel="0" collapsed="false">
      <c r="A73" s="12" t="s">
        <v>256</v>
      </c>
      <c r="B73" s="13" t="s">
        <v>80</v>
      </c>
      <c r="C73" s="13" t="s">
        <v>89</v>
      </c>
      <c r="D73" s="13" t="s">
        <v>225</v>
      </c>
      <c r="E73" s="13" t="s">
        <v>226</v>
      </c>
      <c r="F73" s="13" t="s">
        <v>257</v>
      </c>
      <c r="G73" s="13" t="s">
        <v>228</v>
      </c>
      <c r="H73" s="13" t="s">
        <v>37</v>
      </c>
      <c r="I73" s="13" t="n">
        <v>2</v>
      </c>
      <c r="J73" s="13" t="n">
        <v>5</v>
      </c>
      <c r="K73" s="14" t="n">
        <f aca="false">I73*J73</f>
        <v>10</v>
      </c>
      <c r="L73" s="13" t="str">
        <f aca="false">IF(I73=5,"Almost Certain",IF(I73=4,"Likely",IF(I73=3,"Possible",IF(I73=2,"Unlikely","Rare"))))</f>
        <v>Unlikely</v>
      </c>
      <c r="M73" s="13" t="str">
        <f aca="false">IF(K73&gt;=16,"Critical",IF(K73&gt;=9,"High",IF(K73&gt;=4,"Medium","Opportunistic")))</f>
        <v>High</v>
      </c>
      <c r="N73" s="13" t="n">
        <v>2</v>
      </c>
      <c r="O73" s="13" t="s">
        <v>112</v>
      </c>
    </row>
    <row r="74" customFormat="false" ht="32.8" hidden="false" customHeight="false" outlineLevel="0" collapsed="false">
      <c r="A74" s="12" t="s">
        <v>258</v>
      </c>
      <c r="B74" s="13" t="s">
        <v>80</v>
      </c>
      <c r="C74" s="13" t="s">
        <v>89</v>
      </c>
      <c r="D74" s="13" t="s">
        <v>237</v>
      </c>
      <c r="E74" s="13" t="s">
        <v>238</v>
      </c>
      <c r="F74" s="13" t="s">
        <v>259</v>
      </c>
      <c r="G74" s="13" t="s">
        <v>240</v>
      </c>
      <c r="H74" s="13" t="s">
        <v>37</v>
      </c>
      <c r="I74" s="13" t="n">
        <v>2</v>
      </c>
      <c r="J74" s="13" t="n">
        <v>5</v>
      </c>
      <c r="K74" s="14" t="n">
        <f aca="false">I74*J74</f>
        <v>10</v>
      </c>
      <c r="L74" s="13" t="str">
        <f aca="false">IF(I74=5,"Almost Certain",IF(I74=4,"Likely",IF(I74=3,"Possible",IF(I74=2,"Unlikely","Rare"))))</f>
        <v>Unlikely</v>
      </c>
      <c r="M74" s="13" t="str">
        <f aca="false">IF(K74&gt;=16,"Critical",IF(K74&gt;=9,"High",IF(K74&gt;=4,"Medium","Opportunistic")))</f>
        <v>High</v>
      </c>
      <c r="N74" s="13" t="n">
        <v>2</v>
      </c>
      <c r="O74" s="13" t="s">
        <v>112</v>
      </c>
    </row>
    <row r="75" customFormat="false" ht="32.8" hidden="false" customHeight="false" outlineLevel="0" collapsed="false">
      <c r="A75" s="12" t="s">
        <v>260</v>
      </c>
      <c r="B75" s="13" t="s">
        <v>80</v>
      </c>
      <c r="C75" s="13" t="s">
        <v>89</v>
      </c>
      <c r="D75" s="13" t="s">
        <v>242</v>
      </c>
      <c r="E75" s="13" t="s">
        <v>243</v>
      </c>
      <c r="F75" s="13" t="s">
        <v>261</v>
      </c>
      <c r="G75" s="13" t="s">
        <v>245</v>
      </c>
      <c r="H75" s="13" t="s">
        <v>37</v>
      </c>
      <c r="I75" s="13" t="n">
        <v>2</v>
      </c>
      <c r="J75" s="13" t="n">
        <v>5</v>
      </c>
      <c r="K75" s="14" t="n">
        <f aca="false">I75*J75</f>
        <v>10</v>
      </c>
      <c r="L75" s="13" t="str">
        <f aca="false">IF(I75=5,"Almost Certain",IF(I75=4,"Likely",IF(I75=3,"Possible",IF(I75=2,"Unlikely","Rare"))))</f>
        <v>Unlikely</v>
      </c>
      <c r="M75" s="13" t="str">
        <f aca="false">IF(K75&gt;=16,"Critical",IF(K75&gt;=9,"High",IF(K75&gt;=4,"Medium","Opportunistic")))</f>
        <v>High</v>
      </c>
      <c r="N75" s="13" t="n">
        <v>2</v>
      </c>
      <c r="O75" s="13" t="s">
        <v>246</v>
      </c>
    </row>
    <row r="76" customFormat="false" ht="43.25" hidden="false" customHeight="false" outlineLevel="0" collapsed="false">
      <c r="A76" s="12" t="s">
        <v>262</v>
      </c>
      <c r="B76" s="13" t="s">
        <v>80</v>
      </c>
      <c r="C76" s="13" t="s">
        <v>41</v>
      </c>
      <c r="D76" s="13" t="s">
        <v>207</v>
      </c>
      <c r="E76" s="13" t="s">
        <v>208</v>
      </c>
      <c r="F76" s="13" t="s">
        <v>263</v>
      </c>
      <c r="G76" s="13" t="s">
        <v>210</v>
      </c>
      <c r="H76" s="13" t="s">
        <v>37</v>
      </c>
      <c r="I76" s="13" t="n">
        <v>2</v>
      </c>
      <c r="J76" s="13" t="n">
        <v>5</v>
      </c>
      <c r="K76" s="14" t="n">
        <f aca="false">I76*J76</f>
        <v>10</v>
      </c>
      <c r="L76" s="13" t="str">
        <f aca="false">IF(I76=5,"Almost Certain",IF(I76=4,"Likely",IF(I76=3,"Possible",IF(I76=2,"Unlikely","Rare"))))</f>
        <v>Unlikely</v>
      </c>
      <c r="M76" s="13" t="str">
        <f aca="false">IF(K76&gt;=16,"Critical",IF(K76&gt;=9,"High",IF(K76&gt;=4,"Medium","Opportunistic")))</f>
        <v>High</v>
      </c>
      <c r="N76" s="13" t="n">
        <v>2</v>
      </c>
      <c r="O76" s="13" t="s">
        <v>124</v>
      </c>
    </row>
    <row r="77" customFormat="false" ht="32.8" hidden="false" customHeight="false" outlineLevel="0" collapsed="false">
      <c r="A77" s="12" t="s">
        <v>264</v>
      </c>
      <c r="B77" s="13" t="s">
        <v>80</v>
      </c>
      <c r="C77" s="13" t="s">
        <v>41</v>
      </c>
      <c r="D77" s="13" t="s">
        <v>212</v>
      </c>
      <c r="E77" s="13" t="s">
        <v>213</v>
      </c>
      <c r="F77" s="13" t="s">
        <v>169</v>
      </c>
      <c r="G77" s="13" t="s">
        <v>214</v>
      </c>
      <c r="H77" s="13" t="s">
        <v>37</v>
      </c>
      <c r="I77" s="13" t="n">
        <v>2</v>
      </c>
      <c r="J77" s="13" t="n">
        <v>5</v>
      </c>
      <c r="K77" s="14" t="n">
        <f aca="false">I77*J77</f>
        <v>10</v>
      </c>
      <c r="L77" s="13" t="str">
        <f aca="false">IF(I77=5,"Almost Certain",IF(I77=4,"Likely",IF(I77=3,"Possible",IF(I77=2,"Unlikely","Rare"))))</f>
        <v>Unlikely</v>
      </c>
      <c r="M77" s="13" t="str">
        <f aca="false">IF(K77&gt;=16,"Critical",IF(K77&gt;=9,"High",IF(K77&gt;=4,"Medium","Opportunistic")))</f>
        <v>High</v>
      </c>
      <c r="N77" s="13" t="n">
        <v>2</v>
      </c>
      <c r="O77" s="13" t="s">
        <v>124</v>
      </c>
    </row>
    <row r="78" customFormat="false" ht="32.8" hidden="false" customHeight="false" outlineLevel="0" collapsed="false">
      <c r="A78" s="12" t="s">
        <v>265</v>
      </c>
      <c r="B78" s="13" t="s">
        <v>80</v>
      </c>
      <c r="C78" s="13" t="s">
        <v>41</v>
      </c>
      <c r="D78" s="13" t="s">
        <v>216</v>
      </c>
      <c r="E78" s="13" t="s">
        <v>217</v>
      </c>
      <c r="F78" s="13" t="s">
        <v>123</v>
      </c>
      <c r="G78" s="13" t="s">
        <v>218</v>
      </c>
      <c r="H78" s="13" t="s">
        <v>37</v>
      </c>
      <c r="I78" s="13" t="n">
        <v>2</v>
      </c>
      <c r="J78" s="13" t="n">
        <v>5</v>
      </c>
      <c r="K78" s="14" t="n">
        <f aca="false">I78*J78</f>
        <v>10</v>
      </c>
      <c r="L78" s="13" t="str">
        <f aca="false">IF(I78=5,"Almost Certain",IF(I78=4,"Likely",IF(I78=3,"Possible",IF(I78=2,"Unlikely","Rare"))))</f>
        <v>Unlikely</v>
      </c>
      <c r="M78" s="13" t="str">
        <f aca="false">IF(K78&gt;=16,"Critical",IF(K78&gt;=9,"High",IF(K78&gt;=4,"Medium","Opportunistic")))</f>
        <v>High</v>
      </c>
      <c r="N78" s="13" t="n">
        <v>2</v>
      </c>
      <c r="O78" s="13" t="s">
        <v>124</v>
      </c>
    </row>
    <row r="79" customFormat="false" ht="32.8" hidden="false" customHeight="false" outlineLevel="0" collapsed="false">
      <c r="A79" s="12" t="s">
        <v>266</v>
      </c>
      <c r="B79" s="13" t="s">
        <v>80</v>
      </c>
      <c r="C79" s="13" t="s">
        <v>41</v>
      </c>
      <c r="D79" s="13" t="s">
        <v>237</v>
      </c>
      <c r="E79" s="13" t="s">
        <v>238</v>
      </c>
      <c r="F79" s="13" t="s">
        <v>267</v>
      </c>
      <c r="G79" s="13" t="s">
        <v>240</v>
      </c>
      <c r="H79" s="13" t="s">
        <v>37</v>
      </c>
      <c r="I79" s="13" t="n">
        <v>2</v>
      </c>
      <c r="J79" s="13" t="n">
        <v>5</v>
      </c>
      <c r="K79" s="14" t="n">
        <f aca="false">I79*J79</f>
        <v>10</v>
      </c>
      <c r="L79" s="13" t="str">
        <f aca="false">IF(I79=5,"Almost Certain",IF(I79=4,"Likely",IF(I79=3,"Possible",IF(I79=2,"Unlikely","Rare"))))</f>
        <v>Unlikely</v>
      </c>
      <c r="M79" s="13" t="str">
        <f aca="false">IF(K79&gt;=16,"Critical",IF(K79&gt;=9,"High",IF(K79&gt;=4,"Medium","Opportunistic")))</f>
        <v>High</v>
      </c>
      <c r="N79" s="13" t="n">
        <v>2</v>
      </c>
      <c r="O79" s="13" t="s">
        <v>124</v>
      </c>
    </row>
    <row r="80" customFormat="false" ht="53.7" hidden="false" customHeight="false" outlineLevel="0" collapsed="false">
      <c r="A80" s="12" t="s">
        <v>268</v>
      </c>
      <c r="B80" s="13" t="s">
        <v>80</v>
      </c>
      <c r="C80" s="13" t="s">
        <v>41</v>
      </c>
      <c r="D80" s="13" t="s">
        <v>269</v>
      </c>
      <c r="E80" s="13" t="s">
        <v>270</v>
      </c>
      <c r="F80" s="13" t="s">
        <v>271</v>
      </c>
      <c r="G80" s="13" t="s">
        <v>223</v>
      </c>
      <c r="H80" s="13" t="s">
        <v>37</v>
      </c>
      <c r="I80" s="13" t="n">
        <v>2</v>
      </c>
      <c r="J80" s="13" t="n">
        <v>5</v>
      </c>
      <c r="K80" s="14" t="n">
        <f aca="false">I80*J80</f>
        <v>10</v>
      </c>
      <c r="L80" s="13" t="str">
        <f aca="false">IF(I80=5,"Almost Certain",IF(I80=4,"Likely",IF(I80=3,"Possible",IF(I80=2,"Unlikely","Rare"))))</f>
        <v>Unlikely</v>
      </c>
      <c r="M80" s="13" t="str">
        <f aca="false">IF(K80&gt;=16,"Critical",IF(K80&gt;=9,"High",IF(K80&gt;=4,"Medium","Opportunistic")))</f>
        <v>High</v>
      </c>
      <c r="N80" s="13" t="n">
        <v>4</v>
      </c>
      <c r="O80" s="13" t="s">
        <v>124</v>
      </c>
    </row>
    <row r="81" customFormat="false" ht="32.8" hidden="false" customHeight="false" outlineLevel="0" collapsed="false">
      <c r="A81" s="12" t="s">
        <v>272</v>
      </c>
      <c r="B81" s="13" t="s">
        <v>80</v>
      </c>
      <c r="C81" s="13" t="s">
        <v>41</v>
      </c>
      <c r="D81" s="13" t="s">
        <v>273</v>
      </c>
      <c r="E81" s="13" t="s">
        <v>274</v>
      </c>
      <c r="F81" s="13" t="s">
        <v>275</v>
      </c>
      <c r="G81" s="13" t="s">
        <v>276</v>
      </c>
      <c r="H81" s="13" t="s">
        <v>37</v>
      </c>
      <c r="I81" s="13" t="n">
        <v>2</v>
      </c>
      <c r="J81" s="13" t="n">
        <v>5</v>
      </c>
      <c r="K81" s="14" t="n">
        <f aca="false">I81*J81</f>
        <v>10</v>
      </c>
      <c r="L81" s="13" t="str">
        <f aca="false">IF(I81=5,"Almost Certain",IF(I81=4,"Likely",IF(I81=3,"Possible",IF(I81=2,"Unlikely","Rare"))))</f>
        <v>Unlikely</v>
      </c>
      <c r="M81" s="13" t="str">
        <f aca="false">IF(K81&gt;=16,"Critical",IF(K81&gt;=9,"High",IF(K81&gt;=4,"Medium","Opportunistic")))</f>
        <v>High</v>
      </c>
      <c r="N81" s="13" t="n">
        <v>2</v>
      </c>
      <c r="O81" s="13" t="s">
        <v>124</v>
      </c>
    </row>
    <row r="82" customFormat="false" ht="32.8" hidden="false" customHeight="false" outlineLevel="0" collapsed="false">
      <c r="A82" s="12" t="s">
        <v>277</v>
      </c>
      <c r="B82" s="13" t="s">
        <v>80</v>
      </c>
      <c r="C82" s="13" t="s">
        <v>41</v>
      </c>
      <c r="D82" s="13" t="s">
        <v>225</v>
      </c>
      <c r="E82" s="13" t="s">
        <v>226</v>
      </c>
      <c r="F82" s="13" t="s">
        <v>278</v>
      </c>
      <c r="G82" s="13" t="s">
        <v>228</v>
      </c>
      <c r="H82" s="13" t="s">
        <v>37</v>
      </c>
      <c r="I82" s="13" t="n">
        <v>2</v>
      </c>
      <c r="J82" s="13" t="n">
        <v>5</v>
      </c>
      <c r="K82" s="14" t="n">
        <f aca="false">I82*J82</f>
        <v>10</v>
      </c>
      <c r="L82" s="13" t="str">
        <f aca="false">IF(I82=5,"Almost Certain",IF(I82=4,"Likely",IF(I82=3,"Possible",IF(I82=2,"Unlikely","Rare"))))</f>
        <v>Unlikely</v>
      </c>
      <c r="M82" s="13" t="str">
        <f aca="false">IF(K82&gt;=16,"Critical",IF(K82&gt;=9,"High",IF(K82&gt;=4,"Medium","Opportunistic")))</f>
        <v>High</v>
      </c>
      <c r="N82" s="13" t="n">
        <v>2</v>
      </c>
      <c r="O82" s="13" t="s">
        <v>124</v>
      </c>
    </row>
    <row r="83" customFormat="false" ht="32.8" hidden="false" customHeight="false" outlineLevel="0" collapsed="false">
      <c r="A83" s="12" t="s">
        <v>279</v>
      </c>
      <c r="B83" s="13" t="s">
        <v>80</v>
      </c>
      <c r="C83" s="13" t="s">
        <v>41</v>
      </c>
      <c r="D83" s="13" t="s">
        <v>242</v>
      </c>
      <c r="E83" s="13" t="s">
        <v>243</v>
      </c>
      <c r="F83" s="13" t="s">
        <v>261</v>
      </c>
      <c r="G83" s="13" t="s">
        <v>245</v>
      </c>
      <c r="H83" s="13" t="s">
        <v>37</v>
      </c>
      <c r="I83" s="13" t="n">
        <v>2</v>
      </c>
      <c r="J83" s="13" t="n">
        <v>5</v>
      </c>
      <c r="K83" s="14" t="n">
        <f aca="false">I83*J83</f>
        <v>10</v>
      </c>
      <c r="L83" s="13" t="str">
        <f aca="false">IF(I83=5,"Almost Certain",IF(I83=4,"Likely",IF(I83=3,"Possible",IF(I83=2,"Unlikely","Rare"))))</f>
        <v>Unlikely</v>
      </c>
      <c r="M83" s="13" t="str">
        <f aca="false">IF(K83&gt;=16,"Critical",IF(K83&gt;=9,"High",IF(K83&gt;=4,"Medium","Opportunistic")))</f>
        <v>High</v>
      </c>
      <c r="N83" s="13" t="n">
        <v>2</v>
      </c>
      <c r="O83" s="13" t="s">
        <v>246</v>
      </c>
    </row>
    <row r="84" customFormat="false" ht="32.8" hidden="false" customHeight="false" outlineLevel="0" collapsed="false">
      <c r="A84" s="12" t="s">
        <v>280</v>
      </c>
      <c r="B84" s="13" t="s">
        <v>80</v>
      </c>
      <c r="C84" s="13" t="s">
        <v>94</v>
      </c>
      <c r="D84" s="13" t="s">
        <v>207</v>
      </c>
      <c r="E84" s="13" t="s">
        <v>208</v>
      </c>
      <c r="F84" s="13" t="s">
        <v>281</v>
      </c>
      <c r="G84" s="13" t="s">
        <v>210</v>
      </c>
      <c r="H84" s="13" t="s">
        <v>37</v>
      </c>
      <c r="I84" s="13" t="n">
        <v>2</v>
      </c>
      <c r="J84" s="13" t="n">
        <v>5</v>
      </c>
      <c r="K84" s="14" t="n">
        <f aca="false">I84*J84</f>
        <v>10</v>
      </c>
      <c r="L84" s="13" t="str">
        <f aca="false">IF(I84=5,"Almost Certain",IF(I84=4,"Likely",IF(I84=3,"Possible",IF(I84=2,"Unlikely","Rare"))))</f>
        <v>Unlikely</v>
      </c>
      <c r="M84" s="13" t="str">
        <f aca="false">IF(K84&gt;=16,"Critical",IF(K84&gt;=9,"High",IF(K84&gt;=4,"Medium","Opportunistic")))</f>
        <v>High</v>
      </c>
      <c r="N84" s="13" t="n">
        <v>2</v>
      </c>
      <c r="O84" s="13" t="s">
        <v>112</v>
      </c>
    </row>
    <row r="85" customFormat="false" ht="32.8" hidden="false" customHeight="false" outlineLevel="0" collapsed="false">
      <c r="A85" s="12" t="s">
        <v>282</v>
      </c>
      <c r="B85" s="13" t="s">
        <v>80</v>
      </c>
      <c r="C85" s="13" t="s">
        <v>94</v>
      </c>
      <c r="D85" s="13" t="s">
        <v>212</v>
      </c>
      <c r="E85" s="13" t="s">
        <v>213</v>
      </c>
      <c r="F85" s="13" t="s">
        <v>191</v>
      </c>
      <c r="G85" s="13" t="s">
        <v>214</v>
      </c>
      <c r="H85" s="13" t="s">
        <v>37</v>
      </c>
      <c r="I85" s="13" t="n">
        <v>2</v>
      </c>
      <c r="J85" s="13" t="n">
        <v>5</v>
      </c>
      <c r="K85" s="14" t="n">
        <f aca="false">I85*J85</f>
        <v>10</v>
      </c>
      <c r="L85" s="13" t="str">
        <f aca="false">IF(I85=5,"Almost Certain",IF(I85=4,"Likely",IF(I85=3,"Possible",IF(I85=2,"Unlikely","Rare"))))</f>
        <v>Unlikely</v>
      </c>
      <c r="M85" s="13" t="str">
        <f aca="false">IF(K85&gt;=16,"Critical",IF(K85&gt;=9,"High",IF(K85&gt;=4,"Medium","Opportunistic")))</f>
        <v>High</v>
      </c>
      <c r="N85" s="13" t="n">
        <v>2</v>
      </c>
      <c r="O85" s="13" t="s">
        <v>112</v>
      </c>
    </row>
    <row r="86" customFormat="false" ht="32.8" hidden="false" customHeight="false" outlineLevel="0" collapsed="false">
      <c r="A86" s="12" t="s">
        <v>283</v>
      </c>
      <c r="B86" s="13" t="s">
        <v>80</v>
      </c>
      <c r="C86" s="13" t="s">
        <v>94</v>
      </c>
      <c r="D86" s="13" t="s">
        <v>220</v>
      </c>
      <c r="E86" s="13" t="s">
        <v>221</v>
      </c>
      <c r="F86" s="13" t="s">
        <v>284</v>
      </c>
      <c r="G86" s="13" t="s">
        <v>223</v>
      </c>
      <c r="H86" s="13" t="s">
        <v>37</v>
      </c>
      <c r="I86" s="13" t="n">
        <v>2</v>
      </c>
      <c r="J86" s="13" t="n">
        <v>5</v>
      </c>
      <c r="K86" s="14" t="n">
        <f aca="false">I86*J86</f>
        <v>10</v>
      </c>
      <c r="L86" s="13" t="str">
        <f aca="false">IF(I86=5,"Almost Certain",IF(I86=4,"Likely",IF(I86=3,"Possible",IF(I86=2,"Unlikely","Rare"))))</f>
        <v>Unlikely</v>
      </c>
      <c r="M86" s="13" t="str">
        <f aca="false">IF(K86&gt;=16,"Critical",IF(K86&gt;=9,"High",IF(K86&gt;=4,"Medium","Opportunistic")))</f>
        <v>High</v>
      </c>
      <c r="N86" s="13" t="n">
        <v>4</v>
      </c>
      <c r="O86" s="13" t="s">
        <v>112</v>
      </c>
    </row>
    <row r="87" customFormat="false" ht="43.25" hidden="false" customHeight="false" outlineLevel="0" collapsed="false">
      <c r="A87" s="12" t="s">
        <v>285</v>
      </c>
      <c r="B87" s="13" t="s">
        <v>80</v>
      </c>
      <c r="C87" s="13" t="s">
        <v>94</v>
      </c>
      <c r="D87" s="13" t="s">
        <v>225</v>
      </c>
      <c r="E87" s="13" t="s">
        <v>226</v>
      </c>
      <c r="F87" s="13" t="s">
        <v>286</v>
      </c>
      <c r="G87" s="13" t="s">
        <v>228</v>
      </c>
      <c r="H87" s="13" t="s">
        <v>37</v>
      </c>
      <c r="I87" s="13" t="n">
        <v>2</v>
      </c>
      <c r="J87" s="13" t="n">
        <v>5</v>
      </c>
      <c r="K87" s="14" t="n">
        <f aca="false">I87*J87</f>
        <v>10</v>
      </c>
      <c r="L87" s="13" t="str">
        <f aca="false">IF(I87=5,"Almost Certain",IF(I87=4,"Likely",IF(I87=3,"Possible",IF(I87=2,"Unlikely","Rare"))))</f>
        <v>Unlikely</v>
      </c>
      <c r="M87" s="13" t="str">
        <f aca="false">IF(K87&gt;=16,"Critical",IF(K87&gt;=9,"High",IF(K87&gt;=4,"Medium","Opportunistic")))</f>
        <v>High</v>
      </c>
      <c r="N87" s="13" t="n">
        <v>2</v>
      </c>
      <c r="O87" s="13" t="s">
        <v>112</v>
      </c>
    </row>
    <row r="88" customFormat="false" ht="32.8" hidden="false" customHeight="false" outlineLevel="0" collapsed="false">
      <c r="A88" s="12" t="s">
        <v>287</v>
      </c>
      <c r="B88" s="13" t="s">
        <v>80</v>
      </c>
      <c r="C88" s="13" t="s">
        <v>96</v>
      </c>
      <c r="D88" s="13" t="s">
        <v>207</v>
      </c>
      <c r="E88" s="13" t="s">
        <v>208</v>
      </c>
      <c r="F88" s="13" t="s">
        <v>288</v>
      </c>
      <c r="G88" s="13" t="s">
        <v>210</v>
      </c>
      <c r="H88" s="13" t="s">
        <v>37</v>
      </c>
      <c r="I88" s="13" t="n">
        <v>2</v>
      </c>
      <c r="J88" s="13" t="n">
        <v>5</v>
      </c>
      <c r="K88" s="14" t="n">
        <f aca="false">I88*J88</f>
        <v>10</v>
      </c>
      <c r="L88" s="13" t="str">
        <f aca="false">IF(I88=5,"Almost Certain",IF(I88=4,"Likely",IF(I88=3,"Possible",IF(I88=2,"Unlikely","Rare"))))</f>
        <v>Unlikely</v>
      </c>
      <c r="M88" s="13" t="str">
        <f aca="false">IF(K88&gt;=16,"Critical",IF(K88&gt;=9,"High",IF(K88&gt;=4,"Medium","Opportunistic")))</f>
        <v>High</v>
      </c>
      <c r="N88" s="13" t="n">
        <v>2</v>
      </c>
      <c r="O88" s="13" t="s">
        <v>112</v>
      </c>
    </row>
    <row r="89" customFormat="false" ht="32.8" hidden="false" customHeight="false" outlineLevel="0" collapsed="false">
      <c r="A89" s="12" t="s">
        <v>289</v>
      </c>
      <c r="B89" s="13" t="s">
        <v>80</v>
      </c>
      <c r="C89" s="13" t="s">
        <v>96</v>
      </c>
      <c r="D89" s="13" t="s">
        <v>212</v>
      </c>
      <c r="E89" s="13" t="s">
        <v>213</v>
      </c>
      <c r="F89" s="13" t="s">
        <v>197</v>
      </c>
      <c r="G89" s="13" t="s">
        <v>214</v>
      </c>
      <c r="H89" s="13" t="s">
        <v>37</v>
      </c>
      <c r="I89" s="13" t="n">
        <v>2</v>
      </c>
      <c r="J89" s="13" t="n">
        <v>5</v>
      </c>
      <c r="K89" s="14" t="n">
        <f aca="false">I89*J89</f>
        <v>10</v>
      </c>
      <c r="L89" s="13" t="str">
        <f aca="false">IF(I89=5,"Almost Certain",IF(I89=4,"Likely",IF(I89=3,"Possible",IF(I89=2,"Unlikely","Rare"))))</f>
        <v>Unlikely</v>
      </c>
      <c r="M89" s="13" t="str">
        <f aca="false">IF(K89&gt;=16,"Critical",IF(K89&gt;=9,"High",IF(K89&gt;=4,"Medium","Opportunistic")))</f>
        <v>High</v>
      </c>
      <c r="N89" s="13" t="n">
        <v>2</v>
      </c>
      <c r="O89" s="13" t="s">
        <v>112</v>
      </c>
    </row>
    <row r="90" customFormat="false" ht="32.8" hidden="false" customHeight="false" outlineLevel="0" collapsed="false">
      <c r="A90" s="12" t="s">
        <v>290</v>
      </c>
      <c r="B90" s="13" t="s">
        <v>80</v>
      </c>
      <c r="C90" s="13" t="s">
        <v>96</v>
      </c>
      <c r="D90" s="13" t="s">
        <v>216</v>
      </c>
      <c r="E90" s="13" t="s">
        <v>217</v>
      </c>
      <c r="F90" s="13" t="s">
        <v>128</v>
      </c>
      <c r="G90" s="13" t="s">
        <v>218</v>
      </c>
      <c r="H90" s="13" t="s">
        <v>37</v>
      </c>
      <c r="I90" s="13" t="n">
        <v>2</v>
      </c>
      <c r="J90" s="13" t="n">
        <v>5</v>
      </c>
      <c r="K90" s="14" t="n">
        <f aca="false">I90*J90</f>
        <v>10</v>
      </c>
      <c r="L90" s="13" t="str">
        <f aca="false">IF(I90=5,"Almost Certain",IF(I90=4,"Likely",IF(I90=3,"Possible",IF(I90=2,"Unlikely","Rare"))))</f>
        <v>Unlikely</v>
      </c>
      <c r="M90" s="13" t="str">
        <f aca="false">IF(K90&gt;=16,"Critical",IF(K90&gt;=9,"High",IF(K90&gt;=4,"Medium","Opportunistic")))</f>
        <v>High</v>
      </c>
      <c r="N90" s="13" t="n">
        <v>2</v>
      </c>
      <c r="O90" s="13" t="s">
        <v>112</v>
      </c>
    </row>
    <row r="91" customFormat="false" ht="43.25" hidden="false" customHeight="false" outlineLevel="0" collapsed="false">
      <c r="A91" s="12" t="s">
        <v>291</v>
      </c>
      <c r="B91" s="13" t="s">
        <v>80</v>
      </c>
      <c r="C91" s="13" t="s">
        <v>96</v>
      </c>
      <c r="D91" s="13" t="s">
        <v>225</v>
      </c>
      <c r="E91" s="13" t="s">
        <v>226</v>
      </c>
      <c r="F91" s="13" t="s">
        <v>292</v>
      </c>
      <c r="G91" s="13" t="s">
        <v>228</v>
      </c>
      <c r="H91" s="13" t="s">
        <v>37</v>
      </c>
      <c r="I91" s="13" t="n">
        <v>2</v>
      </c>
      <c r="J91" s="13" t="n">
        <v>5</v>
      </c>
      <c r="K91" s="14" t="n">
        <f aca="false">I91*J91</f>
        <v>10</v>
      </c>
      <c r="L91" s="13" t="str">
        <f aca="false">IF(I91=5,"Almost Certain",IF(I91=4,"Likely",IF(I91=3,"Possible",IF(I91=2,"Unlikely","Rare"))))</f>
        <v>Unlikely</v>
      </c>
      <c r="M91" s="13" t="str">
        <f aca="false">IF(K91&gt;=16,"Critical",IF(K91&gt;=9,"High",IF(K91&gt;=4,"Medium","Opportunistic")))</f>
        <v>High</v>
      </c>
      <c r="N91" s="13" t="n">
        <v>2</v>
      </c>
      <c r="O91" s="13" t="s">
        <v>112</v>
      </c>
    </row>
    <row r="92" customFormat="false" ht="43.25" hidden="false" customHeight="false" outlineLevel="0" collapsed="false">
      <c r="A92" s="12" t="s">
        <v>293</v>
      </c>
      <c r="B92" s="13" t="s">
        <v>80</v>
      </c>
      <c r="C92" s="13" t="s">
        <v>98</v>
      </c>
      <c r="D92" s="13" t="s">
        <v>207</v>
      </c>
      <c r="E92" s="13" t="s">
        <v>208</v>
      </c>
      <c r="F92" s="13" t="s">
        <v>294</v>
      </c>
      <c r="G92" s="13" t="s">
        <v>210</v>
      </c>
      <c r="H92" s="13" t="s">
        <v>37</v>
      </c>
      <c r="I92" s="13" t="n">
        <v>2</v>
      </c>
      <c r="J92" s="13" t="n">
        <v>5</v>
      </c>
      <c r="K92" s="14" t="n">
        <f aca="false">I92*J92</f>
        <v>10</v>
      </c>
      <c r="L92" s="13" t="str">
        <f aca="false">IF(I92=5,"Almost Certain",IF(I92=4,"Likely",IF(I92=3,"Possible",IF(I92=2,"Unlikely","Rare"))))</f>
        <v>Unlikely</v>
      </c>
      <c r="M92" s="13" t="str">
        <f aca="false">IF(K92&gt;=16,"Critical",IF(K92&gt;=9,"High",IF(K92&gt;=4,"Medium","Opportunistic")))</f>
        <v>High</v>
      </c>
      <c r="N92" s="13" t="n">
        <v>2</v>
      </c>
      <c r="O92" s="13" t="s">
        <v>112</v>
      </c>
    </row>
    <row r="93" customFormat="false" ht="43.25" hidden="false" customHeight="false" outlineLevel="0" collapsed="false">
      <c r="A93" s="12" t="s">
        <v>295</v>
      </c>
      <c r="B93" s="13" t="s">
        <v>80</v>
      </c>
      <c r="C93" s="13" t="s">
        <v>98</v>
      </c>
      <c r="D93" s="13" t="s">
        <v>273</v>
      </c>
      <c r="E93" s="13" t="s">
        <v>274</v>
      </c>
      <c r="F93" s="13" t="s">
        <v>296</v>
      </c>
      <c r="G93" s="13" t="s">
        <v>276</v>
      </c>
      <c r="H93" s="13" t="s">
        <v>37</v>
      </c>
      <c r="I93" s="13" t="n">
        <v>2</v>
      </c>
      <c r="J93" s="13" t="n">
        <v>5</v>
      </c>
      <c r="K93" s="14" t="n">
        <f aca="false">I93*J93</f>
        <v>10</v>
      </c>
      <c r="L93" s="13" t="str">
        <f aca="false">IF(I93=5,"Almost Certain",IF(I93=4,"Likely",IF(I93=3,"Possible",IF(I93=2,"Unlikely","Rare"))))</f>
        <v>Unlikely</v>
      </c>
      <c r="M93" s="13" t="str">
        <f aca="false">IF(K93&gt;=16,"Critical",IF(K93&gt;=9,"High",IF(K93&gt;=4,"Medium","Opportunistic")))</f>
        <v>High</v>
      </c>
      <c r="N93" s="13" t="n">
        <v>2</v>
      </c>
      <c r="O93" s="13" t="s">
        <v>112</v>
      </c>
    </row>
    <row r="94" customFormat="false" ht="43.25" hidden="false" customHeight="false" outlineLevel="0" collapsed="false">
      <c r="A94" s="12" t="s">
        <v>297</v>
      </c>
      <c r="B94" s="13" t="s">
        <v>80</v>
      </c>
      <c r="C94" s="13" t="s">
        <v>98</v>
      </c>
      <c r="D94" s="13" t="s">
        <v>298</v>
      </c>
      <c r="E94" s="13" t="s">
        <v>299</v>
      </c>
      <c r="F94" s="13" t="s">
        <v>300</v>
      </c>
      <c r="G94" s="13" t="s">
        <v>301</v>
      </c>
      <c r="H94" s="13" t="s">
        <v>37</v>
      </c>
      <c r="I94" s="13" t="n">
        <v>2</v>
      </c>
      <c r="J94" s="13" t="n">
        <v>5</v>
      </c>
      <c r="K94" s="14" t="n">
        <f aca="false">I94*J94</f>
        <v>10</v>
      </c>
      <c r="L94" s="13" t="str">
        <f aca="false">IF(I94=5,"Almost Certain",IF(I94=4,"Likely",IF(I94=3,"Possible",IF(I94=2,"Unlikely","Rare"))))</f>
        <v>Unlikely</v>
      </c>
      <c r="M94" s="13" t="str">
        <f aca="false">IF(K94&gt;=16,"Critical",IF(K94&gt;=9,"High",IF(K94&gt;=4,"Medium","Opportunistic")))</f>
        <v>High</v>
      </c>
      <c r="N94" s="13" t="n">
        <v>2</v>
      </c>
      <c r="O94" s="13" t="s">
        <v>112</v>
      </c>
    </row>
    <row r="95" customFormat="false" ht="43.25" hidden="false" customHeight="false" outlineLevel="0" collapsed="false">
      <c r="A95" s="12" t="s">
        <v>302</v>
      </c>
      <c r="B95" s="13" t="s">
        <v>80</v>
      </c>
      <c r="C95" s="13" t="s">
        <v>98</v>
      </c>
      <c r="D95" s="13" t="s">
        <v>225</v>
      </c>
      <c r="E95" s="13" t="s">
        <v>226</v>
      </c>
      <c r="F95" s="13" t="s">
        <v>303</v>
      </c>
      <c r="G95" s="13" t="s">
        <v>228</v>
      </c>
      <c r="H95" s="13" t="s">
        <v>37</v>
      </c>
      <c r="I95" s="13" t="n">
        <v>2</v>
      </c>
      <c r="J95" s="13" t="n">
        <v>5</v>
      </c>
      <c r="K95" s="14" t="n">
        <f aca="false">I95*J95</f>
        <v>10</v>
      </c>
      <c r="L95" s="13" t="str">
        <f aca="false">IF(I95=5,"Almost Certain",IF(I95=4,"Likely",IF(I95=3,"Possible",IF(I95=2,"Unlikely","Rare"))))</f>
        <v>Unlikely</v>
      </c>
      <c r="M95" s="13" t="str">
        <f aca="false">IF(K95&gt;=16,"Critical",IF(K95&gt;=9,"High",IF(K95&gt;=4,"Medium","Opportunistic")))</f>
        <v>High</v>
      </c>
      <c r="N95" s="13" t="n">
        <v>2</v>
      </c>
      <c r="O95" s="13" t="s">
        <v>112</v>
      </c>
    </row>
    <row r="96" customFormat="false" ht="32.8" hidden="false" customHeight="false" outlineLevel="0" collapsed="false">
      <c r="A96" s="12" t="s">
        <v>304</v>
      </c>
      <c r="B96" s="13" t="s">
        <v>80</v>
      </c>
      <c r="C96" s="13" t="s">
        <v>101</v>
      </c>
      <c r="D96" s="13" t="s">
        <v>207</v>
      </c>
      <c r="E96" s="13" t="s">
        <v>208</v>
      </c>
      <c r="F96" s="13" t="s">
        <v>305</v>
      </c>
      <c r="G96" s="13" t="s">
        <v>210</v>
      </c>
      <c r="H96" s="13" t="s">
        <v>37</v>
      </c>
      <c r="I96" s="13" t="n">
        <v>2</v>
      </c>
      <c r="J96" s="13" t="n">
        <v>5</v>
      </c>
      <c r="K96" s="14" t="n">
        <f aca="false">I96*J96</f>
        <v>10</v>
      </c>
      <c r="L96" s="13" t="str">
        <f aca="false">IF(I96=5,"Almost Certain",IF(I96=4,"Likely",IF(I96=3,"Possible",IF(I96=2,"Unlikely","Rare"))))</f>
        <v>Unlikely</v>
      </c>
      <c r="M96" s="13" t="str">
        <f aca="false">IF(K96&gt;=16,"Critical",IF(K96&gt;=9,"High",IF(K96&gt;=4,"Medium","Opportunistic")))</f>
        <v>High</v>
      </c>
      <c r="N96" s="13" t="n">
        <v>2</v>
      </c>
      <c r="O96" s="13" t="s">
        <v>112</v>
      </c>
    </row>
    <row r="97" customFormat="false" ht="32.8" hidden="false" customHeight="false" outlineLevel="0" collapsed="false">
      <c r="A97" s="12" t="s">
        <v>306</v>
      </c>
      <c r="B97" s="13" t="s">
        <v>80</v>
      </c>
      <c r="C97" s="13" t="s">
        <v>101</v>
      </c>
      <c r="D97" s="13" t="s">
        <v>216</v>
      </c>
      <c r="E97" s="13" t="s">
        <v>217</v>
      </c>
      <c r="F97" s="13" t="s">
        <v>138</v>
      </c>
      <c r="G97" s="13" t="s">
        <v>218</v>
      </c>
      <c r="H97" s="13" t="s">
        <v>37</v>
      </c>
      <c r="I97" s="13" t="n">
        <v>2</v>
      </c>
      <c r="J97" s="13" t="n">
        <v>5</v>
      </c>
      <c r="K97" s="14" t="n">
        <f aca="false">I97*J97</f>
        <v>10</v>
      </c>
      <c r="L97" s="13" t="str">
        <f aca="false">IF(I97=5,"Almost Certain",IF(I97=4,"Likely",IF(I97=3,"Possible",IF(I97=2,"Unlikely","Rare"))))</f>
        <v>Unlikely</v>
      </c>
      <c r="M97" s="13" t="str">
        <f aca="false">IF(K97&gt;=16,"Critical",IF(K97&gt;=9,"High",IF(K97&gt;=4,"Medium","Opportunistic")))</f>
        <v>High</v>
      </c>
      <c r="N97" s="13" t="n">
        <v>2</v>
      </c>
      <c r="O97" s="13" t="s">
        <v>112</v>
      </c>
    </row>
    <row r="98" customFormat="false" ht="32.8" hidden="false" customHeight="false" outlineLevel="0" collapsed="false">
      <c r="A98" s="12" t="s">
        <v>307</v>
      </c>
      <c r="B98" s="13" t="s">
        <v>80</v>
      </c>
      <c r="C98" s="13" t="s">
        <v>101</v>
      </c>
      <c r="D98" s="13" t="s">
        <v>220</v>
      </c>
      <c r="E98" s="13" t="s">
        <v>221</v>
      </c>
      <c r="F98" s="13" t="s">
        <v>308</v>
      </c>
      <c r="G98" s="13" t="s">
        <v>223</v>
      </c>
      <c r="H98" s="13" t="s">
        <v>37</v>
      </c>
      <c r="I98" s="13" t="n">
        <v>2</v>
      </c>
      <c r="J98" s="13" t="n">
        <v>5</v>
      </c>
      <c r="K98" s="14" t="n">
        <f aca="false">I98*J98</f>
        <v>10</v>
      </c>
      <c r="L98" s="13" t="str">
        <f aca="false">IF(I98=5,"Almost Certain",IF(I98=4,"Likely",IF(I98=3,"Possible",IF(I98=2,"Unlikely","Rare"))))</f>
        <v>Unlikely</v>
      </c>
      <c r="M98" s="13" t="str">
        <f aca="false">IF(K98&gt;=16,"Critical",IF(K98&gt;=9,"High",IF(K98&gt;=4,"Medium","Opportunistic")))</f>
        <v>High</v>
      </c>
      <c r="N98" s="13" t="n">
        <v>4</v>
      </c>
      <c r="O98" s="13" t="s">
        <v>112</v>
      </c>
    </row>
    <row r="99" customFormat="false" ht="32.8" hidden="false" customHeight="false" outlineLevel="0" collapsed="false">
      <c r="A99" s="12" t="s">
        <v>309</v>
      </c>
      <c r="B99" s="13" t="s">
        <v>80</v>
      </c>
      <c r="C99" s="13" t="s">
        <v>101</v>
      </c>
      <c r="D99" s="13" t="s">
        <v>225</v>
      </c>
      <c r="E99" s="13" t="s">
        <v>226</v>
      </c>
      <c r="F99" s="13" t="s">
        <v>310</v>
      </c>
      <c r="G99" s="13" t="s">
        <v>228</v>
      </c>
      <c r="H99" s="13" t="s">
        <v>37</v>
      </c>
      <c r="I99" s="13" t="n">
        <v>2</v>
      </c>
      <c r="J99" s="13" t="n">
        <v>5</v>
      </c>
      <c r="K99" s="14" t="n">
        <f aca="false">I99*J99</f>
        <v>10</v>
      </c>
      <c r="L99" s="13" t="str">
        <f aca="false">IF(I99=5,"Almost Certain",IF(I99=4,"Likely",IF(I99=3,"Possible",IF(I99=2,"Unlikely","Rare"))))</f>
        <v>Unlikely</v>
      </c>
      <c r="M99" s="13" t="str">
        <f aca="false">IF(K99&gt;=16,"Critical",IF(K99&gt;=9,"High",IF(K99&gt;=4,"Medium","Opportunistic")))</f>
        <v>High</v>
      </c>
      <c r="N99" s="13" t="n">
        <v>2</v>
      </c>
      <c r="O99" s="13" t="s">
        <v>112</v>
      </c>
    </row>
    <row r="100" customFormat="false" ht="95.5" hidden="false" customHeight="false" outlineLevel="0" collapsed="false">
      <c r="A100" s="12" t="s">
        <v>311</v>
      </c>
      <c r="B100" s="13" t="s">
        <v>312</v>
      </c>
      <c r="C100" s="13" t="s">
        <v>313</v>
      </c>
      <c r="D100" s="13" t="s">
        <v>314</v>
      </c>
      <c r="E100" s="13" t="s">
        <v>315</v>
      </c>
      <c r="F100" s="13" t="s">
        <v>316</v>
      </c>
      <c r="G100" s="13" t="s">
        <v>317</v>
      </c>
      <c r="H100" s="13" t="s">
        <v>37</v>
      </c>
      <c r="I100" s="13" t="n">
        <v>2</v>
      </c>
      <c r="J100" s="13" t="n">
        <v>5</v>
      </c>
      <c r="K100" s="14" t="n">
        <f aca="false">I100*J100</f>
        <v>10</v>
      </c>
      <c r="L100" s="13" t="str">
        <f aca="false">IF(I100=5,"Almost Certain",IF(I100=4,"Likely",IF(I100=3,"Possible",IF(I100=2,"Unlikely","Rare"))))</f>
        <v>Unlikely</v>
      </c>
      <c r="M100" s="13" t="str">
        <f aca="false">IF(K100&gt;=16,"Critical",IF(K100&gt;=9,"High",IF(K100&gt;=4,"Medium","Opportunistic")))</f>
        <v>High</v>
      </c>
      <c r="N100" s="13" t="n">
        <v>3</v>
      </c>
      <c r="O100" s="13" t="s">
        <v>53</v>
      </c>
    </row>
    <row r="101" customFormat="false" ht="32.8" hidden="false" customHeight="false" outlineLevel="0" collapsed="false">
      <c r="A101" s="12" t="s">
        <v>318</v>
      </c>
      <c r="B101" s="13" t="s">
        <v>312</v>
      </c>
      <c r="C101" s="13" t="s">
        <v>319</v>
      </c>
      <c r="D101" s="13" t="s">
        <v>320</v>
      </c>
      <c r="E101" s="13" t="s">
        <v>321</v>
      </c>
      <c r="F101" s="13" t="s">
        <v>322</v>
      </c>
      <c r="G101" s="13" t="s">
        <v>323</v>
      </c>
      <c r="H101" s="13" t="s">
        <v>37</v>
      </c>
      <c r="I101" s="13" t="n">
        <v>2</v>
      </c>
      <c r="J101" s="13" t="n">
        <v>5</v>
      </c>
      <c r="K101" s="14" t="n">
        <f aca="false">I101*J101</f>
        <v>10</v>
      </c>
      <c r="L101" s="13" t="str">
        <f aca="false">IF(I101=5,"Almost Certain",IF(I101=4,"Likely",IF(I101=3,"Possible",IF(I101=2,"Unlikely","Rare"))))</f>
        <v>Unlikely</v>
      </c>
      <c r="M101" s="13" t="str">
        <f aca="false">IF(K101&gt;=16,"Critical",IF(K101&gt;=9,"High",IF(K101&gt;=4,"Medium","Opportunistic")))</f>
        <v>High</v>
      </c>
      <c r="N101" s="13" t="n">
        <v>3</v>
      </c>
      <c r="O101" s="13" t="s">
        <v>53</v>
      </c>
    </row>
    <row r="102" customFormat="false" ht="32.8" hidden="false" customHeight="false" outlineLevel="0" collapsed="false">
      <c r="A102" s="12" t="s">
        <v>324</v>
      </c>
      <c r="B102" s="13" t="s">
        <v>80</v>
      </c>
      <c r="C102" s="13" t="s">
        <v>81</v>
      </c>
      <c r="D102" s="13" t="s">
        <v>325</v>
      </c>
      <c r="E102" s="13" t="s">
        <v>326</v>
      </c>
      <c r="F102" s="13" t="s">
        <v>327</v>
      </c>
      <c r="G102" s="13" t="s">
        <v>328</v>
      </c>
      <c r="H102" s="13" t="s">
        <v>37</v>
      </c>
      <c r="I102" s="13" t="n">
        <v>2</v>
      </c>
      <c r="J102" s="13" t="n">
        <v>4</v>
      </c>
      <c r="K102" s="14" t="n">
        <f aca="false">I102*J102</f>
        <v>8</v>
      </c>
      <c r="L102" s="13" t="str">
        <f aca="false">IF(I102=5,"Almost Certain",IF(I102=4,"Likely",IF(I102=3,"Possible",IF(I102=2,"Unlikely","Rare"))))</f>
        <v>Unlikely</v>
      </c>
      <c r="M102" s="13" t="str">
        <f aca="false">IF(K102&gt;=16,"Critical",IF(K102&gt;=9,"High",IF(K102&gt;=4,"Medium","Opportunistic")))</f>
        <v>Medium</v>
      </c>
      <c r="N102" s="13" t="n">
        <v>3</v>
      </c>
      <c r="O102" s="13" t="s">
        <v>112</v>
      </c>
    </row>
    <row r="103" customFormat="false" ht="32.8" hidden="false" customHeight="false" outlineLevel="0" collapsed="false">
      <c r="A103" s="12" t="s">
        <v>329</v>
      </c>
      <c r="B103" s="13" t="s">
        <v>80</v>
      </c>
      <c r="C103" s="13" t="s">
        <v>87</v>
      </c>
      <c r="D103" s="13" t="s">
        <v>325</v>
      </c>
      <c r="E103" s="13" t="s">
        <v>326</v>
      </c>
      <c r="F103" s="13" t="s">
        <v>330</v>
      </c>
      <c r="G103" s="13" t="s">
        <v>328</v>
      </c>
      <c r="H103" s="13" t="s">
        <v>37</v>
      </c>
      <c r="I103" s="13" t="n">
        <v>2</v>
      </c>
      <c r="J103" s="13" t="n">
        <v>4</v>
      </c>
      <c r="K103" s="14" t="n">
        <f aca="false">I103*J103</f>
        <v>8</v>
      </c>
      <c r="L103" s="13" t="str">
        <f aca="false">IF(I103=5,"Almost Certain",IF(I103=4,"Likely",IF(I103=3,"Possible",IF(I103=2,"Unlikely","Rare"))))</f>
        <v>Unlikely</v>
      </c>
      <c r="M103" s="13" t="str">
        <f aca="false">IF(K103&gt;=16,"Critical",IF(K103&gt;=9,"High",IF(K103&gt;=4,"Medium","Opportunistic")))</f>
        <v>Medium</v>
      </c>
      <c r="N103" s="13" t="n">
        <v>3</v>
      </c>
      <c r="O103" s="13" t="s">
        <v>112</v>
      </c>
    </row>
    <row r="104" customFormat="false" ht="32.8" hidden="false" customHeight="false" outlineLevel="0" collapsed="false">
      <c r="A104" s="12" t="s">
        <v>331</v>
      </c>
      <c r="B104" s="13" t="s">
        <v>80</v>
      </c>
      <c r="C104" s="13" t="s">
        <v>89</v>
      </c>
      <c r="D104" s="13" t="s">
        <v>325</v>
      </c>
      <c r="E104" s="13" t="s">
        <v>326</v>
      </c>
      <c r="F104" s="13" t="s">
        <v>332</v>
      </c>
      <c r="G104" s="13" t="s">
        <v>328</v>
      </c>
      <c r="H104" s="13" t="s">
        <v>37</v>
      </c>
      <c r="I104" s="13" t="n">
        <v>2</v>
      </c>
      <c r="J104" s="13" t="n">
        <v>4</v>
      </c>
      <c r="K104" s="14" t="n">
        <f aca="false">I104*J104</f>
        <v>8</v>
      </c>
      <c r="L104" s="13" t="str">
        <f aca="false">IF(I104=5,"Almost Certain",IF(I104=4,"Likely",IF(I104=3,"Possible",IF(I104=2,"Unlikely","Rare"))))</f>
        <v>Unlikely</v>
      </c>
      <c r="M104" s="13" t="str">
        <f aca="false">IF(K104&gt;=16,"Critical",IF(K104&gt;=9,"High",IF(K104&gt;=4,"Medium","Opportunistic")))</f>
        <v>Medium</v>
      </c>
      <c r="N104" s="13" t="n">
        <v>3</v>
      </c>
      <c r="O104" s="13" t="s">
        <v>112</v>
      </c>
    </row>
    <row r="105" customFormat="false" ht="32.8" hidden="false" customHeight="false" outlineLevel="0" collapsed="false">
      <c r="A105" s="12" t="s">
        <v>333</v>
      </c>
      <c r="B105" s="13" t="s">
        <v>80</v>
      </c>
      <c r="C105" s="13" t="s">
        <v>89</v>
      </c>
      <c r="D105" s="13" t="s">
        <v>334</v>
      </c>
      <c r="E105" s="13" t="s">
        <v>335</v>
      </c>
      <c r="F105" s="13" t="s">
        <v>336</v>
      </c>
      <c r="G105" s="13" t="s">
        <v>337</v>
      </c>
      <c r="H105" s="13" t="s">
        <v>37</v>
      </c>
      <c r="I105" s="13" t="n">
        <v>2</v>
      </c>
      <c r="J105" s="13" t="n">
        <v>4</v>
      </c>
      <c r="K105" s="14" t="n">
        <f aca="false">I105*J105</f>
        <v>8</v>
      </c>
      <c r="L105" s="13" t="str">
        <f aca="false">IF(I105=5,"Almost Certain",IF(I105=4,"Likely",IF(I105=3,"Possible",IF(I105=2,"Unlikely","Rare"))))</f>
        <v>Unlikely</v>
      </c>
      <c r="M105" s="13" t="str">
        <f aca="false">IF(K105&gt;=16,"Critical",IF(K105&gt;=9,"High",IF(K105&gt;=4,"Medium","Opportunistic")))</f>
        <v>Medium</v>
      </c>
      <c r="N105" s="13" t="n">
        <v>3</v>
      </c>
      <c r="O105" s="13" t="s">
        <v>112</v>
      </c>
    </row>
    <row r="106" customFormat="false" ht="43.25" hidden="false" customHeight="false" outlineLevel="0" collapsed="false">
      <c r="A106" s="12" t="s">
        <v>338</v>
      </c>
      <c r="B106" s="13" t="s">
        <v>80</v>
      </c>
      <c r="C106" s="13" t="s">
        <v>41</v>
      </c>
      <c r="D106" s="13" t="s">
        <v>325</v>
      </c>
      <c r="E106" s="13" t="s">
        <v>326</v>
      </c>
      <c r="F106" s="13" t="s">
        <v>339</v>
      </c>
      <c r="G106" s="13" t="s">
        <v>328</v>
      </c>
      <c r="H106" s="13" t="s">
        <v>37</v>
      </c>
      <c r="I106" s="13" t="n">
        <v>2</v>
      </c>
      <c r="J106" s="13" t="n">
        <v>4</v>
      </c>
      <c r="K106" s="14" t="n">
        <f aca="false">I106*J106</f>
        <v>8</v>
      </c>
      <c r="L106" s="13" t="str">
        <f aca="false">IF(I106=5,"Almost Certain",IF(I106=4,"Likely",IF(I106=3,"Possible",IF(I106=2,"Unlikely","Rare"))))</f>
        <v>Unlikely</v>
      </c>
      <c r="M106" s="13" t="str">
        <f aca="false">IF(K106&gt;=16,"Critical",IF(K106&gt;=9,"High",IF(K106&gt;=4,"Medium","Opportunistic")))</f>
        <v>Medium</v>
      </c>
      <c r="N106" s="13" t="n">
        <v>3</v>
      </c>
      <c r="O106" s="13" t="s">
        <v>124</v>
      </c>
    </row>
    <row r="107" customFormat="false" ht="43.25" hidden="false" customHeight="false" outlineLevel="0" collapsed="false">
      <c r="A107" s="12" t="s">
        <v>340</v>
      </c>
      <c r="B107" s="13" t="s">
        <v>80</v>
      </c>
      <c r="C107" s="13" t="s">
        <v>41</v>
      </c>
      <c r="D107" s="13" t="s">
        <v>341</v>
      </c>
      <c r="E107" s="13" t="s">
        <v>342</v>
      </c>
      <c r="F107" s="13" t="s">
        <v>343</v>
      </c>
      <c r="G107" s="13" t="s">
        <v>344</v>
      </c>
      <c r="H107" s="13" t="s">
        <v>37</v>
      </c>
      <c r="I107" s="13" t="n">
        <v>2</v>
      </c>
      <c r="J107" s="13" t="n">
        <v>4</v>
      </c>
      <c r="K107" s="14" t="n">
        <f aca="false">I107*J107</f>
        <v>8</v>
      </c>
      <c r="L107" s="13" t="str">
        <f aca="false">IF(I107=5,"Almost Certain",IF(I107=4,"Likely",IF(I107=3,"Possible",IF(I107=2,"Unlikely","Rare"))))</f>
        <v>Unlikely</v>
      </c>
      <c r="M107" s="13" t="str">
        <f aca="false">IF(K107&gt;=16,"Critical",IF(K107&gt;=9,"High",IF(K107&gt;=4,"Medium","Opportunistic")))</f>
        <v>Medium</v>
      </c>
      <c r="N107" s="13" t="n">
        <v>3</v>
      </c>
      <c r="O107" s="13" t="s">
        <v>246</v>
      </c>
    </row>
    <row r="108" customFormat="false" ht="32.8" hidden="false" customHeight="false" outlineLevel="0" collapsed="false">
      <c r="A108" s="12" t="s">
        <v>345</v>
      </c>
      <c r="B108" s="13" t="s">
        <v>80</v>
      </c>
      <c r="C108" s="13" t="s">
        <v>94</v>
      </c>
      <c r="D108" s="13" t="s">
        <v>325</v>
      </c>
      <c r="E108" s="13" t="s">
        <v>326</v>
      </c>
      <c r="F108" s="13" t="s">
        <v>346</v>
      </c>
      <c r="G108" s="13" t="s">
        <v>328</v>
      </c>
      <c r="H108" s="13" t="s">
        <v>37</v>
      </c>
      <c r="I108" s="13" t="n">
        <v>2</v>
      </c>
      <c r="J108" s="13" t="n">
        <v>4</v>
      </c>
      <c r="K108" s="14" t="n">
        <f aca="false">I108*J108</f>
        <v>8</v>
      </c>
      <c r="L108" s="13" t="str">
        <f aca="false">IF(I108=5,"Almost Certain",IF(I108=4,"Likely",IF(I108=3,"Possible",IF(I108=2,"Unlikely","Rare"))))</f>
        <v>Unlikely</v>
      </c>
      <c r="M108" s="13" t="str">
        <f aca="false">IF(K108&gt;=16,"Critical",IF(K108&gt;=9,"High",IF(K108&gt;=4,"Medium","Opportunistic")))</f>
        <v>Medium</v>
      </c>
      <c r="N108" s="13" t="n">
        <v>3</v>
      </c>
      <c r="O108" s="13" t="s">
        <v>112</v>
      </c>
    </row>
    <row r="109" customFormat="false" ht="43.25" hidden="false" customHeight="false" outlineLevel="0" collapsed="false">
      <c r="A109" s="12" t="s">
        <v>347</v>
      </c>
      <c r="B109" s="13" t="s">
        <v>80</v>
      </c>
      <c r="C109" s="13" t="s">
        <v>98</v>
      </c>
      <c r="D109" s="13" t="s">
        <v>325</v>
      </c>
      <c r="E109" s="13" t="s">
        <v>326</v>
      </c>
      <c r="F109" s="13" t="s">
        <v>348</v>
      </c>
      <c r="G109" s="13" t="s">
        <v>328</v>
      </c>
      <c r="H109" s="13" t="s">
        <v>37</v>
      </c>
      <c r="I109" s="13" t="n">
        <v>2</v>
      </c>
      <c r="J109" s="13" t="n">
        <v>4</v>
      </c>
      <c r="K109" s="14" t="n">
        <f aca="false">I109*J109</f>
        <v>8</v>
      </c>
      <c r="L109" s="13" t="str">
        <f aca="false">IF(I109=5,"Almost Certain",IF(I109=4,"Likely",IF(I109=3,"Possible",IF(I109=2,"Unlikely","Rare"))))</f>
        <v>Unlikely</v>
      </c>
      <c r="M109" s="13" t="str">
        <f aca="false">IF(K109&gt;=16,"Critical",IF(K109&gt;=9,"High",IF(K109&gt;=4,"Medium","Opportunistic")))</f>
        <v>Medium</v>
      </c>
      <c r="N109" s="13" t="n">
        <v>3</v>
      </c>
      <c r="O109" s="13" t="s">
        <v>112</v>
      </c>
    </row>
    <row r="110" customFormat="false" ht="32.8" hidden="false" customHeight="false" outlineLevel="0" collapsed="false">
      <c r="A110" s="12" t="s">
        <v>349</v>
      </c>
      <c r="B110" s="13" t="s">
        <v>80</v>
      </c>
      <c r="C110" s="13" t="s">
        <v>101</v>
      </c>
      <c r="D110" s="13" t="s">
        <v>325</v>
      </c>
      <c r="E110" s="13" t="s">
        <v>326</v>
      </c>
      <c r="F110" s="13" t="s">
        <v>350</v>
      </c>
      <c r="G110" s="13" t="s">
        <v>328</v>
      </c>
      <c r="H110" s="13" t="s">
        <v>37</v>
      </c>
      <c r="I110" s="13" t="n">
        <v>2</v>
      </c>
      <c r="J110" s="13" t="n">
        <v>4</v>
      </c>
      <c r="K110" s="14" t="n">
        <f aca="false">I110*J110</f>
        <v>8</v>
      </c>
      <c r="L110" s="13" t="str">
        <f aca="false">IF(I110=5,"Almost Certain",IF(I110=4,"Likely",IF(I110=3,"Possible",IF(I110=2,"Unlikely","Rare"))))</f>
        <v>Unlikely</v>
      </c>
      <c r="M110" s="13" t="str">
        <f aca="false">IF(K110&gt;=16,"Critical",IF(K110&gt;=9,"High",IF(K110&gt;=4,"Medium","Opportunistic")))</f>
        <v>Medium</v>
      </c>
      <c r="N110" s="13" t="n">
        <v>3</v>
      </c>
      <c r="O110" s="13" t="s">
        <v>112</v>
      </c>
    </row>
    <row r="111" customFormat="false" ht="32.8" hidden="false" customHeight="false" outlineLevel="0" collapsed="false">
      <c r="A111" s="12" t="s">
        <v>351</v>
      </c>
      <c r="B111" s="13" t="s">
        <v>80</v>
      </c>
      <c r="C111" s="13" t="s">
        <v>81</v>
      </c>
      <c r="D111" s="13" t="s">
        <v>352</v>
      </c>
      <c r="E111" s="13" t="s">
        <v>353</v>
      </c>
      <c r="F111" s="13" t="s">
        <v>354</v>
      </c>
      <c r="G111" s="13" t="s">
        <v>355</v>
      </c>
      <c r="H111" s="13" t="s">
        <v>37</v>
      </c>
      <c r="I111" s="13" t="n">
        <v>1</v>
      </c>
      <c r="J111" s="13" t="n">
        <v>5</v>
      </c>
      <c r="K111" s="14" t="n">
        <f aca="false">I111*J111</f>
        <v>5</v>
      </c>
      <c r="L111" s="13" t="str">
        <f aca="false">IF(I111=5,"Almost Certain",IF(I111=4,"Likely",IF(I111=3,"Possible",IF(I111=2,"Unlikely","Rare"))))</f>
        <v>Rare</v>
      </c>
      <c r="M111" s="13" t="str">
        <f aca="false">IF(K111&gt;=16,"Critical",IF(K111&gt;=9,"High",IF(K111&gt;=4,"Medium","Opportunistic")))</f>
        <v>Medium</v>
      </c>
      <c r="N111" s="13" t="n">
        <v>4</v>
      </c>
      <c r="O111" s="13" t="s">
        <v>53</v>
      </c>
    </row>
    <row r="112" customFormat="false" ht="32.8" hidden="false" customHeight="false" outlineLevel="0" collapsed="false">
      <c r="A112" s="12" t="s">
        <v>356</v>
      </c>
      <c r="B112" s="13" t="s">
        <v>80</v>
      </c>
      <c r="C112" s="13" t="s">
        <v>87</v>
      </c>
      <c r="D112" s="13" t="s">
        <v>352</v>
      </c>
      <c r="E112" s="13" t="s">
        <v>353</v>
      </c>
      <c r="F112" s="13" t="s">
        <v>354</v>
      </c>
      <c r="G112" s="13" t="s">
        <v>355</v>
      </c>
      <c r="H112" s="13" t="s">
        <v>37</v>
      </c>
      <c r="I112" s="13" t="n">
        <v>1</v>
      </c>
      <c r="J112" s="13" t="n">
        <v>5</v>
      </c>
      <c r="K112" s="14" t="n">
        <f aca="false">I112*J112</f>
        <v>5</v>
      </c>
      <c r="L112" s="13" t="str">
        <f aca="false">IF(I112=5,"Almost Certain",IF(I112=4,"Likely",IF(I112=3,"Possible",IF(I112=2,"Unlikely","Rare"))))</f>
        <v>Rare</v>
      </c>
      <c r="M112" s="13" t="str">
        <f aca="false">IF(K112&gt;=16,"Critical",IF(K112&gt;=9,"High",IF(K112&gt;=4,"Medium","Opportunistic")))</f>
        <v>Medium</v>
      </c>
      <c r="N112" s="13" t="n">
        <v>4</v>
      </c>
      <c r="O112" s="13" t="s">
        <v>53</v>
      </c>
    </row>
    <row r="113" customFormat="false" ht="32.8" hidden="false" customHeight="false" outlineLevel="0" collapsed="false">
      <c r="A113" s="12" t="s">
        <v>357</v>
      </c>
      <c r="B113" s="13" t="s">
        <v>80</v>
      </c>
      <c r="C113" s="13" t="s">
        <v>89</v>
      </c>
      <c r="D113" s="13" t="s">
        <v>352</v>
      </c>
      <c r="E113" s="13" t="s">
        <v>353</v>
      </c>
      <c r="F113" s="13" t="s">
        <v>354</v>
      </c>
      <c r="G113" s="13" t="s">
        <v>355</v>
      </c>
      <c r="H113" s="13" t="s">
        <v>37</v>
      </c>
      <c r="I113" s="13" t="n">
        <v>1</v>
      </c>
      <c r="J113" s="13" t="n">
        <v>5</v>
      </c>
      <c r="K113" s="14" t="n">
        <f aca="false">I113*J113</f>
        <v>5</v>
      </c>
      <c r="L113" s="13" t="str">
        <f aca="false">IF(I113=5,"Almost Certain",IF(I113=4,"Likely",IF(I113=3,"Possible",IF(I113=2,"Unlikely","Rare"))))</f>
        <v>Rare</v>
      </c>
      <c r="M113" s="13" t="str">
        <f aca="false">IF(K113&gt;=16,"Critical",IF(K113&gt;=9,"High",IF(K113&gt;=4,"Medium","Opportunistic")))</f>
        <v>Medium</v>
      </c>
      <c r="N113" s="13" t="n">
        <v>4</v>
      </c>
      <c r="O113" s="13" t="s">
        <v>53</v>
      </c>
    </row>
    <row r="114" customFormat="false" ht="32.8" hidden="false" customHeight="false" outlineLevel="0" collapsed="false">
      <c r="A114" s="12" t="s">
        <v>358</v>
      </c>
      <c r="B114" s="13" t="s">
        <v>80</v>
      </c>
      <c r="C114" s="13" t="s">
        <v>41</v>
      </c>
      <c r="D114" s="13" t="s">
        <v>352</v>
      </c>
      <c r="E114" s="13" t="s">
        <v>353</v>
      </c>
      <c r="F114" s="13" t="s">
        <v>354</v>
      </c>
      <c r="G114" s="13" t="s">
        <v>355</v>
      </c>
      <c r="H114" s="13" t="s">
        <v>37</v>
      </c>
      <c r="I114" s="13" t="n">
        <v>1</v>
      </c>
      <c r="J114" s="13" t="n">
        <v>5</v>
      </c>
      <c r="K114" s="14" t="n">
        <f aca="false">I114*J114</f>
        <v>5</v>
      </c>
      <c r="L114" s="13" t="str">
        <f aca="false">IF(I114=5,"Almost Certain",IF(I114=4,"Likely",IF(I114=3,"Possible",IF(I114=2,"Unlikely","Rare"))))</f>
        <v>Rare</v>
      </c>
      <c r="M114" s="13" t="str">
        <f aca="false">IF(K114&gt;=16,"Critical",IF(K114&gt;=9,"High",IF(K114&gt;=4,"Medium","Opportunistic")))</f>
        <v>Medium</v>
      </c>
      <c r="N114" s="13" t="n">
        <v>4</v>
      </c>
      <c r="O114" s="13" t="s">
        <v>53</v>
      </c>
    </row>
    <row r="115" customFormat="false" ht="32.8" hidden="false" customHeight="false" outlineLevel="0" collapsed="false">
      <c r="A115" s="12" t="s">
        <v>359</v>
      </c>
      <c r="B115" s="13" t="s">
        <v>80</v>
      </c>
      <c r="C115" s="13" t="s">
        <v>94</v>
      </c>
      <c r="D115" s="13" t="s">
        <v>352</v>
      </c>
      <c r="E115" s="13" t="s">
        <v>353</v>
      </c>
      <c r="F115" s="13" t="s">
        <v>354</v>
      </c>
      <c r="G115" s="13" t="s">
        <v>355</v>
      </c>
      <c r="H115" s="13" t="s">
        <v>37</v>
      </c>
      <c r="I115" s="13" t="n">
        <v>1</v>
      </c>
      <c r="J115" s="13" t="n">
        <v>5</v>
      </c>
      <c r="K115" s="14" t="n">
        <f aca="false">I115*J115</f>
        <v>5</v>
      </c>
      <c r="L115" s="13" t="str">
        <f aca="false">IF(I115=5,"Almost Certain",IF(I115=4,"Likely",IF(I115=3,"Possible",IF(I115=2,"Unlikely","Rare"))))</f>
        <v>Rare</v>
      </c>
      <c r="M115" s="13" t="str">
        <f aca="false">IF(K115&gt;=16,"Critical",IF(K115&gt;=9,"High",IF(K115&gt;=4,"Medium","Opportunistic")))</f>
        <v>Medium</v>
      </c>
      <c r="N115" s="13" t="n">
        <v>4</v>
      </c>
      <c r="O115" s="13" t="s">
        <v>53</v>
      </c>
    </row>
    <row r="116" customFormat="false" ht="32.8" hidden="false" customHeight="false" outlineLevel="0" collapsed="false">
      <c r="A116" s="12" t="s">
        <v>360</v>
      </c>
      <c r="B116" s="13" t="s">
        <v>80</v>
      </c>
      <c r="C116" s="13" t="s">
        <v>96</v>
      </c>
      <c r="D116" s="13" t="s">
        <v>352</v>
      </c>
      <c r="E116" s="13" t="s">
        <v>353</v>
      </c>
      <c r="F116" s="13" t="s">
        <v>354</v>
      </c>
      <c r="G116" s="13" t="s">
        <v>355</v>
      </c>
      <c r="H116" s="13" t="s">
        <v>37</v>
      </c>
      <c r="I116" s="13" t="n">
        <v>1</v>
      </c>
      <c r="J116" s="13" t="n">
        <v>5</v>
      </c>
      <c r="K116" s="14" t="n">
        <f aca="false">I116*J116</f>
        <v>5</v>
      </c>
      <c r="L116" s="13" t="str">
        <f aca="false">IF(I116=5,"Almost Certain",IF(I116=4,"Likely",IF(I116=3,"Possible",IF(I116=2,"Unlikely","Rare"))))</f>
        <v>Rare</v>
      </c>
      <c r="M116" s="13" t="str">
        <f aca="false">IF(K116&gt;=16,"Critical",IF(K116&gt;=9,"High",IF(K116&gt;=4,"Medium","Opportunistic")))</f>
        <v>Medium</v>
      </c>
      <c r="N116" s="13" t="n">
        <v>4</v>
      </c>
      <c r="O116" s="13" t="s">
        <v>53</v>
      </c>
    </row>
    <row r="117" customFormat="false" ht="32.8" hidden="false" customHeight="false" outlineLevel="0" collapsed="false">
      <c r="A117" s="12" t="s">
        <v>361</v>
      </c>
      <c r="B117" s="13" t="s">
        <v>80</v>
      </c>
      <c r="C117" s="13" t="s">
        <v>98</v>
      </c>
      <c r="D117" s="13" t="s">
        <v>352</v>
      </c>
      <c r="E117" s="13" t="s">
        <v>353</v>
      </c>
      <c r="F117" s="13" t="s">
        <v>354</v>
      </c>
      <c r="G117" s="13" t="s">
        <v>355</v>
      </c>
      <c r="H117" s="13" t="s">
        <v>37</v>
      </c>
      <c r="I117" s="13" t="n">
        <v>1</v>
      </c>
      <c r="J117" s="13" t="n">
        <v>5</v>
      </c>
      <c r="K117" s="14" t="n">
        <f aca="false">I117*J117</f>
        <v>5</v>
      </c>
      <c r="L117" s="13" t="str">
        <f aca="false">IF(I117=5,"Almost Certain",IF(I117=4,"Likely",IF(I117=3,"Possible",IF(I117=2,"Unlikely","Rare"))))</f>
        <v>Rare</v>
      </c>
      <c r="M117" s="13" t="str">
        <f aca="false">IF(K117&gt;=16,"Critical",IF(K117&gt;=9,"High",IF(K117&gt;=4,"Medium","Opportunistic")))</f>
        <v>Medium</v>
      </c>
      <c r="N117" s="13" t="n">
        <v>4</v>
      </c>
      <c r="O117" s="13" t="s">
        <v>53</v>
      </c>
    </row>
    <row r="118" customFormat="false" ht="32.8" hidden="false" customHeight="false" outlineLevel="0" collapsed="false">
      <c r="A118" s="12" t="s">
        <v>362</v>
      </c>
      <c r="B118" s="13" t="s">
        <v>80</v>
      </c>
      <c r="C118" s="13" t="s">
        <v>101</v>
      </c>
      <c r="D118" s="13" t="s">
        <v>352</v>
      </c>
      <c r="E118" s="13" t="s">
        <v>353</v>
      </c>
      <c r="F118" s="13" t="s">
        <v>354</v>
      </c>
      <c r="G118" s="13" t="s">
        <v>355</v>
      </c>
      <c r="H118" s="13" t="s">
        <v>37</v>
      </c>
      <c r="I118" s="13" t="n">
        <v>1</v>
      </c>
      <c r="J118" s="13" t="n">
        <v>5</v>
      </c>
      <c r="K118" s="14" t="n">
        <f aca="false">I118*J118</f>
        <v>5</v>
      </c>
      <c r="L118" s="13" t="str">
        <f aca="false">IF(I118=5,"Almost Certain",IF(I118=4,"Likely",IF(I118=3,"Possible",IF(I118=2,"Unlikely","Rare"))))</f>
        <v>Rare</v>
      </c>
      <c r="M118" s="13" t="str">
        <f aca="false">IF(K118&gt;=16,"Critical",IF(K118&gt;=9,"High",IF(K118&gt;=4,"Medium","Opportunistic")))</f>
        <v>Medium</v>
      </c>
      <c r="N118" s="13" t="n">
        <v>4</v>
      </c>
      <c r="O118" s="13" t="s">
        <v>53</v>
      </c>
    </row>
    <row r="119" customFormat="false" ht="64.15" hidden="false" customHeight="false" outlineLevel="0" collapsed="false">
      <c r="A119" s="9" t="s">
        <v>363</v>
      </c>
      <c r="B119" s="10" t="s">
        <v>364</v>
      </c>
      <c r="C119" s="10" t="s">
        <v>55</v>
      </c>
      <c r="D119" s="10" t="s">
        <v>365</v>
      </c>
      <c r="E119" s="10" t="s">
        <v>366</v>
      </c>
      <c r="F119" s="10" t="s">
        <v>367</v>
      </c>
      <c r="G119" s="10" t="s">
        <v>368</v>
      </c>
      <c r="H119" s="10" t="s">
        <v>37</v>
      </c>
      <c r="I119" s="10" t="n">
        <v>1</v>
      </c>
      <c r="J119" s="10" t="n">
        <v>5</v>
      </c>
      <c r="K119" s="11" t="n">
        <f aca="false">I119*J119</f>
        <v>5</v>
      </c>
      <c r="L119" s="10" t="str">
        <f aca="false">IF(I119=5,"Almost Certain",IF(I119=4,"Likely",IF(I119=3,"Possible",IF(I119=2,"Unlikely","Rare"))))</f>
        <v>Rare</v>
      </c>
      <c r="M119" s="10" t="str">
        <f aca="false">IF(K119&gt;=16,"Critical",IF(K119&gt;=9,"High",IF(K119&gt;=4,"Medium","Opportunistic")))</f>
        <v>Medium</v>
      </c>
      <c r="N119" s="10" t="s">
        <v>369</v>
      </c>
      <c r="O119" s="10" t="s">
        <v>370</v>
      </c>
    </row>
  </sheetData>
  <autoFilter ref="A1:O119"/>
  <conditionalFormatting sqref="K2:K11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5" t="s">
        <v>371</v>
      </c>
      <c r="B1" s="5" t="s">
        <v>372</v>
      </c>
      <c r="C1" s="5" t="s">
        <v>373</v>
      </c>
    </row>
    <row r="2" customFormat="false" ht="22.35" hidden="false" customHeight="false" outlineLevel="0" collapsed="false">
      <c r="A2" s="12" t="s">
        <v>79</v>
      </c>
      <c r="B2" s="13" t="s">
        <v>37</v>
      </c>
      <c r="C2" s="13" t="s">
        <v>374</v>
      </c>
    </row>
    <row r="3" customFormat="false" ht="15" hidden="false" customHeight="false" outlineLevel="0" collapsed="false">
      <c r="A3" s="12" t="s">
        <v>102</v>
      </c>
      <c r="B3" s="13" t="s">
        <v>37</v>
      </c>
      <c r="C3" s="13" t="s">
        <v>375</v>
      </c>
    </row>
    <row r="4" customFormat="false" ht="15" hidden="false" customHeight="false" outlineLevel="0" collapsed="false">
      <c r="A4" s="12" t="s">
        <v>351</v>
      </c>
      <c r="B4" s="13" t="s">
        <v>37</v>
      </c>
      <c r="C4" s="13" t="s">
        <v>376</v>
      </c>
    </row>
    <row r="5" customFormat="false" ht="15" hidden="false" customHeight="false" outlineLevel="0" collapsed="false">
      <c r="A5" s="12" t="s">
        <v>79</v>
      </c>
      <c r="B5" s="13" t="s">
        <v>37</v>
      </c>
      <c r="C5" s="13" t="s">
        <v>377</v>
      </c>
    </row>
    <row r="6" customFormat="false" ht="15" hidden="false" customHeight="false" outlineLevel="0" collapsed="false">
      <c r="A6" s="12" t="s">
        <v>206</v>
      </c>
      <c r="B6" s="13" t="s">
        <v>37</v>
      </c>
      <c r="C6" s="13" t="s">
        <v>377</v>
      </c>
    </row>
    <row r="7" customFormat="false" ht="15" hidden="false" customHeight="false" outlineLevel="0" collapsed="false">
      <c r="A7" s="12" t="s">
        <v>102</v>
      </c>
      <c r="B7" s="13" t="s">
        <v>37</v>
      </c>
      <c r="C7" s="13" t="s">
        <v>377</v>
      </c>
    </row>
    <row r="8" customFormat="false" ht="15" hidden="false" customHeight="false" outlineLevel="0" collapsed="false">
      <c r="A8" s="12" t="s">
        <v>351</v>
      </c>
      <c r="B8" s="13" t="s">
        <v>37</v>
      </c>
      <c r="C8" s="13" t="s">
        <v>377</v>
      </c>
    </row>
    <row r="9" customFormat="false" ht="15" hidden="false" customHeight="false" outlineLevel="0" collapsed="false">
      <c r="A9" s="12" t="s">
        <v>139</v>
      </c>
      <c r="B9" s="13" t="s">
        <v>37</v>
      </c>
      <c r="C9" s="13" t="s">
        <v>377</v>
      </c>
    </row>
    <row r="10" customFormat="false" ht="15" hidden="false" customHeight="false" outlineLevel="0" collapsed="false">
      <c r="A10" s="12" t="s">
        <v>211</v>
      </c>
      <c r="B10" s="13" t="s">
        <v>37</v>
      </c>
      <c r="C10" s="13" t="s">
        <v>377</v>
      </c>
    </row>
    <row r="11" customFormat="false" ht="15" hidden="false" customHeight="false" outlineLevel="0" collapsed="false">
      <c r="A11" s="12" t="s">
        <v>107</v>
      </c>
      <c r="B11" s="13" t="s">
        <v>37</v>
      </c>
      <c r="C11" s="13" t="s">
        <v>377</v>
      </c>
    </row>
    <row r="12" customFormat="false" ht="15" hidden="false" customHeight="false" outlineLevel="0" collapsed="false">
      <c r="A12" s="12" t="s">
        <v>215</v>
      </c>
      <c r="B12" s="13" t="s">
        <v>37</v>
      </c>
      <c r="C12" s="13" t="s">
        <v>377</v>
      </c>
    </row>
    <row r="13" customFormat="false" ht="15" hidden="false" customHeight="false" outlineLevel="0" collapsed="false">
      <c r="A13" s="12" t="s">
        <v>144</v>
      </c>
      <c r="B13" s="13" t="s">
        <v>37</v>
      </c>
      <c r="C13" s="13" t="s">
        <v>377</v>
      </c>
    </row>
    <row r="14" customFormat="false" ht="15" hidden="false" customHeight="false" outlineLevel="0" collapsed="false">
      <c r="A14" s="12" t="s">
        <v>324</v>
      </c>
      <c r="B14" s="13" t="s">
        <v>37</v>
      </c>
      <c r="C14" s="13" t="s">
        <v>377</v>
      </c>
    </row>
    <row r="15" customFormat="false" ht="15" hidden="false" customHeight="false" outlineLevel="0" collapsed="false">
      <c r="A15" s="12" t="s">
        <v>149</v>
      </c>
      <c r="B15" s="13" t="s">
        <v>37</v>
      </c>
      <c r="C15" s="13" t="s">
        <v>377</v>
      </c>
    </row>
    <row r="16" customFormat="false" ht="15" hidden="false" customHeight="false" outlineLevel="0" collapsed="false">
      <c r="A16" s="12" t="s">
        <v>219</v>
      </c>
      <c r="B16" s="13" t="s">
        <v>37</v>
      </c>
      <c r="C16" s="13" t="s">
        <v>377</v>
      </c>
    </row>
    <row r="17" customFormat="false" ht="15" hidden="false" customHeight="false" outlineLevel="0" collapsed="false">
      <c r="A17" s="12" t="s">
        <v>224</v>
      </c>
      <c r="B17" s="13" t="s">
        <v>37</v>
      </c>
      <c r="C17" s="13" t="s">
        <v>377</v>
      </c>
    </row>
    <row r="18" customFormat="false" ht="22.35" hidden="false" customHeight="false" outlineLevel="0" collapsed="false">
      <c r="A18" s="12" t="s">
        <v>86</v>
      </c>
      <c r="B18" s="13" t="s">
        <v>37</v>
      </c>
      <c r="C18" s="13" t="s">
        <v>378</v>
      </c>
    </row>
    <row r="19" customFormat="false" ht="15" hidden="false" customHeight="false" outlineLevel="0" collapsed="false">
      <c r="A19" s="12" t="s">
        <v>113</v>
      </c>
      <c r="B19" s="13" t="s">
        <v>37</v>
      </c>
      <c r="C19" s="13" t="s">
        <v>379</v>
      </c>
    </row>
    <row r="20" customFormat="false" ht="15" hidden="false" customHeight="false" outlineLevel="0" collapsed="false">
      <c r="A20" s="12" t="s">
        <v>356</v>
      </c>
      <c r="B20" s="13" t="s">
        <v>37</v>
      </c>
      <c r="C20" s="13" t="s">
        <v>376</v>
      </c>
    </row>
    <row r="21" customFormat="false" ht="15" hidden="false" customHeight="false" outlineLevel="0" collapsed="false">
      <c r="A21" s="12" t="s">
        <v>86</v>
      </c>
      <c r="B21" s="13" t="s">
        <v>37</v>
      </c>
      <c r="C21" s="13" t="s">
        <v>380</v>
      </c>
    </row>
    <row r="22" customFormat="false" ht="15" hidden="false" customHeight="false" outlineLevel="0" collapsed="false">
      <c r="A22" s="12" t="s">
        <v>229</v>
      </c>
      <c r="B22" s="13" t="s">
        <v>37</v>
      </c>
      <c r="C22" s="13" t="s">
        <v>380</v>
      </c>
    </row>
    <row r="23" customFormat="false" ht="15" hidden="false" customHeight="false" outlineLevel="0" collapsed="false">
      <c r="A23" s="12" t="s">
        <v>113</v>
      </c>
      <c r="B23" s="13" t="s">
        <v>37</v>
      </c>
      <c r="C23" s="13" t="s">
        <v>380</v>
      </c>
    </row>
    <row r="24" customFormat="false" ht="15" hidden="false" customHeight="false" outlineLevel="0" collapsed="false">
      <c r="A24" s="12" t="s">
        <v>356</v>
      </c>
      <c r="B24" s="13" t="s">
        <v>37</v>
      </c>
      <c r="C24" s="13" t="s">
        <v>380</v>
      </c>
    </row>
    <row r="25" customFormat="false" ht="15" hidden="false" customHeight="false" outlineLevel="0" collapsed="false">
      <c r="A25" s="12" t="s">
        <v>114</v>
      </c>
      <c r="B25" s="13" t="s">
        <v>37</v>
      </c>
      <c r="C25" s="13" t="s">
        <v>380</v>
      </c>
    </row>
    <row r="26" customFormat="false" ht="15" hidden="false" customHeight="false" outlineLevel="0" collapsed="false">
      <c r="A26" s="12" t="s">
        <v>231</v>
      </c>
      <c r="B26" s="13" t="s">
        <v>37</v>
      </c>
      <c r="C26" s="13" t="s">
        <v>380</v>
      </c>
    </row>
    <row r="27" customFormat="false" ht="15" hidden="false" customHeight="false" outlineLevel="0" collapsed="false">
      <c r="A27" s="12" t="s">
        <v>154</v>
      </c>
      <c r="B27" s="13" t="s">
        <v>37</v>
      </c>
      <c r="C27" s="13" t="s">
        <v>380</v>
      </c>
    </row>
    <row r="28" customFormat="false" ht="15" hidden="false" customHeight="false" outlineLevel="0" collapsed="false">
      <c r="A28" s="12" t="s">
        <v>329</v>
      </c>
      <c r="B28" s="13" t="s">
        <v>37</v>
      </c>
      <c r="C28" s="13" t="s">
        <v>380</v>
      </c>
    </row>
    <row r="29" customFormat="false" ht="15" hidden="false" customHeight="false" outlineLevel="0" collapsed="false">
      <c r="A29" s="12" t="s">
        <v>156</v>
      </c>
      <c r="B29" s="13" t="s">
        <v>37</v>
      </c>
      <c r="C29" s="13" t="s">
        <v>380</v>
      </c>
    </row>
    <row r="30" customFormat="false" ht="15" hidden="false" customHeight="false" outlineLevel="0" collapsed="false">
      <c r="A30" s="12" t="s">
        <v>232</v>
      </c>
      <c r="B30" s="13" t="s">
        <v>37</v>
      </c>
      <c r="C30" s="13" t="s">
        <v>380</v>
      </c>
    </row>
    <row r="31" customFormat="false" ht="15" hidden="false" customHeight="false" outlineLevel="0" collapsed="false">
      <c r="A31" s="12" t="s">
        <v>234</v>
      </c>
      <c r="B31" s="13" t="s">
        <v>37</v>
      </c>
      <c r="C31" s="13" t="s">
        <v>380</v>
      </c>
    </row>
    <row r="32" customFormat="false" ht="15" hidden="false" customHeight="false" outlineLevel="0" collapsed="false">
      <c r="A32" s="12" t="s">
        <v>236</v>
      </c>
      <c r="B32" s="13" t="s">
        <v>37</v>
      </c>
      <c r="C32" s="13" t="s">
        <v>380</v>
      </c>
    </row>
    <row r="33" customFormat="false" ht="15" hidden="false" customHeight="false" outlineLevel="0" collapsed="false">
      <c r="A33" s="12" t="s">
        <v>241</v>
      </c>
      <c r="B33" s="13" t="s">
        <v>37</v>
      </c>
      <c r="C33" s="13" t="s">
        <v>381</v>
      </c>
    </row>
    <row r="34" customFormat="false" ht="22.35" hidden="false" customHeight="false" outlineLevel="0" collapsed="false">
      <c r="A34" s="12" t="s">
        <v>88</v>
      </c>
      <c r="B34" s="13" t="s">
        <v>37</v>
      </c>
      <c r="C34" s="13" t="s">
        <v>382</v>
      </c>
    </row>
    <row r="35" customFormat="false" ht="15" hidden="false" customHeight="false" outlineLevel="0" collapsed="false">
      <c r="A35" s="12" t="s">
        <v>116</v>
      </c>
      <c r="B35" s="13" t="s">
        <v>37</v>
      </c>
      <c r="C35" s="13" t="s">
        <v>383</v>
      </c>
    </row>
    <row r="36" customFormat="false" ht="15" hidden="false" customHeight="false" outlineLevel="0" collapsed="false">
      <c r="A36" s="12" t="s">
        <v>357</v>
      </c>
      <c r="B36" s="13" t="s">
        <v>37</v>
      </c>
      <c r="C36" s="13" t="s">
        <v>376</v>
      </c>
    </row>
    <row r="37" customFormat="false" ht="15" hidden="false" customHeight="false" outlineLevel="0" collapsed="false">
      <c r="A37" s="12" t="s">
        <v>88</v>
      </c>
      <c r="B37" s="13" t="s">
        <v>37</v>
      </c>
      <c r="C37" s="13" t="s">
        <v>384</v>
      </c>
    </row>
    <row r="38" customFormat="false" ht="15" hidden="false" customHeight="false" outlineLevel="0" collapsed="false">
      <c r="A38" s="12" t="s">
        <v>247</v>
      </c>
      <c r="B38" s="13" t="s">
        <v>37</v>
      </c>
      <c r="C38" s="13" t="s">
        <v>384</v>
      </c>
    </row>
    <row r="39" customFormat="false" ht="15" hidden="false" customHeight="false" outlineLevel="0" collapsed="false">
      <c r="A39" s="12" t="s">
        <v>116</v>
      </c>
      <c r="B39" s="13" t="s">
        <v>37</v>
      </c>
      <c r="C39" s="13" t="s">
        <v>384</v>
      </c>
    </row>
    <row r="40" customFormat="false" ht="15" hidden="false" customHeight="false" outlineLevel="0" collapsed="false">
      <c r="A40" s="12" t="s">
        <v>357</v>
      </c>
      <c r="B40" s="13" t="s">
        <v>37</v>
      </c>
      <c r="C40" s="13" t="s">
        <v>384</v>
      </c>
    </row>
    <row r="41" customFormat="false" ht="15" hidden="false" customHeight="false" outlineLevel="0" collapsed="false">
      <c r="A41" s="12" t="s">
        <v>249</v>
      </c>
      <c r="B41" s="13" t="s">
        <v>37</v>
      </c>
      <c r="C41" s="13" t="s">
        <v>384</v>
      </c>
    </row>
    <row r="42" customFormat="false" ht="15" hidden="false" customHeight="false" outlineLevel="0" collapsed="false">
      <c r="A42" s="12" t="s">
        <v>158</v>
      </c>
      <c r="B42" s="13" t="s">
        <v>37</v>
      </c>
      <c r="C42" s="13" t="s">
        <v>384</v>
      </c>
    </row>
    <row r="43" customFormat="false" ht="15" hidden="false" customHeight="false" outlineLevel="0" collapsed="false">
      <c r="A43" s="12" t="s">
        <v>254</v>
      </c>
      <c r="B43" s="13" t="s">
        <v>37</v>
      </c>
      <c r="C43" s="13" t="s">
        <v>384</v>
      </c>
    </row>
    <row r="44" customFormat="false" ht="15" hidden="false" customHeight="false" outlineLevel="0" collapsed="false">
      <c r="A44" s="12" t="s">
        <v>118</v>
      </c>
      <c r="B44" s="13" t="s">
        <v>37</v>
      </c>
      <c r="C44" s="13" t="s">
        <v>384</v>
      </c>
    </row>
    <row r="45" customFormat="false" ht="15" hidden="false" customHeight="false" outlineLevel="0" collapsed="false">
      <c r="A45" s="12" t="s">
        <v>255</v>
      </c>
      <c r="B45" s="13" t="s">
        <v>37</v>
      </c>
      <c r="C45" s="13" t="s">
        <v>384</v>
      </c>
    </row>
    <row r="46" customFormat="false" ht="15" hidden="false" customHeight="false" outlineLevel="0" collapsed="false">
      <c r="A46" s="12" t="s">
        <v>160</v>
      </c>
      <c r="B46" s="13" t="s">
        <v>37</v>
      </c>
      <c r="C46" s="13" t="s">
        <v>384</v>
      </c>
    </row>
    <row r="47" customFormat="false" ht="15" hidden="false" customHeight="false" outlineLevel="0" collapsed="false">
      <c r="A47" s="12" t="s">
        <v>331</v>
      </c>
      <c r="B47" s="13" t="s">
        <v>37</v>
      </c>
      <c r="C47" s="13" t="s">
        <v>384</v>
      </c>
    </row>
    <row r="48" customFormat="false" ht="15" hidden="false" customHeight="false" outlineLevel="0" collapsed="false">
      <c r="A48" s="12" t="s">
        <v>162</v>
      </c>
      <c r="B48" s="13" t="s">
        <v>37</v>
      </c>
      <c r="C48" s="13" t="s">
        <v>384</v>
      </c>
    </row>
    <row r="49" customFormat="false" ht="15" hidden="false" customHeight="false" outlineLevel="0" collapsed="false">
      <c r="A49" s="12" t="s">
        <v>256</v>
      </c>
      <c r="B49" s="13" t="s">
        <v>37</v>
      </c>
      <c r="C49" s="13" t="s">
        <v>384</v>
      </c>
    </row>
    <row r="50" customFormat="false" ht="15" hidden="false" customHeight="false" outlineLevel="0" collapsed="false">
      <c r="A50" s="12" t="s">
        <v>333</v>
      </c>
      <c r="B50" s="13" t="s">
        <v>37</v>
      </c>
      <c r="C50" s="13" t="s">
        <v>384</v>
      </c>
    </row>
    <row r="51" customFormat="false" ht="15" hidden="false" customHeight="false" outlineLevel="0" collapsed="false">
      <c r="A51" s="12" t="s">
        <v>258</v>
      </c>
      <c r="B51" s="13" t="s">
        <v>37</v>
      </c>
      <c r="C51" s="13" t="s">
        <v>384</v>
      </c>
    </row>
    <row r="52" customFormat="false" ht="15" hidden="false" customHeight="false" outlineLevel="0" collapsed="false">
      <c r="A52" s="12" t="s">
        <v>260</v>
      </c>
      <c r="B52" s="13" t="s">
        <v>37</v>
      </c>
      <c r="C52" s="13" t="s">
        <v>381</v>
      </c>
    </row>
    <row r="53" customFormat="false" ht="22.35" hidden="false" customHeight="false" outlineLevel="0" collapsed="false">
      <c r="A53" s="12" t="s">
        <v>90</v>
      </c>
      <c r="B53" s="13" t="s">
        <v>37</v>
      </c>
      <c r="C53" s="13" t="s">
        <v>385</v>
      </c>
    </row>
    <row r="54" customFormat="false" ht="15" hidden="false" customHeight="false" outlineLevel="0" collapsed="false">
      <c r="A54" s="12" t="s">
        <v>120</v>
      </c>
      <c r="B54" s="13" t="s">
        <v>37</v>
      </c>
      <c r="C54" s="13" t="s">
        <v>386</v>
      </c>
    </row>
    <row r="55" customFormat="false" ht="15" hidden="false" customHeight="false" outlineLevel="0" collapsed="false">
      <c r="A55" s="12" t="s">
        <v>358</v>
      </c>
      <c r="B55" s="13" t="s">
        <v>37</v>
      </c>
      <c r="C55" s="13" t="s">
        <v>376</v>
      </c>
    </row>
    <row r="56" customFormat="false" ht="15" hidden="false" customHeight="false" outlineLevel="0" collapsed="false">
      <c r="A56" s="12" t="s">
        <v>164</v>
      </c>
      <c r="B56" s="13" t="s">
        <v>37</v>
      </c>
      <c r="C56" s="13" t="s">
        <v>387</v>
      </c>
    </row>
    <row r="57" customFormat="false" ht="15" hidden="false" customHeight="false" outlineLevel="0" collapsed="false">
      <c r="A57" s="12" t="s">
        <v>166</v>
      </c>
      <c r="B57" s="13" t="s">
        <v>37</v>
      </c>
      <c r="C57" s="13" t="s">
        <v>387</v>
      </c>
    </row>
    <row r="58" customFormat="false" ht="15" hidden="false" customHeight="false" outlineLevel="0" collapsed="false">
      <c r="A58" s="12" t="s">
        <v>120</v>
      </c>
      <c r="B58" s="13" t="s">
        <v>37</v>
      </c>
      <c r="C58" s="13" t="s">
        <v>387</v>
      </c>
    </row>
    <row r="59" customFormat="false" ht="15" hidden="false" customHeight="false" outlineLevel="0" collapsed="false">
      <c r="A59" s="12" t="s">
        <v>358</v>
      </c>
      <c r="B59" s="13" t="s">
        <v>37</v>
      </c>
      <c r="C59" s="13" t="s">
        <v>387</v>
      </c>
    </row>
    <row r="60" customFormat="false" ht="15" hidden="false" customHeight="false" outlineLevel="0" collapsed="false">
      <c r="A60" s="12" t="s">
        <v>90</v>
      </c>
      <c r="B60" s="13" t="s">
        <v>37</v>
      </c>
      <c r="C60" s="13" t="s">
        <v>387</v>
      </c>
    </row>
    <row r="61" customFormat="false" ht="15" hidden="false" customHeight="false" outlineLevel="0" collapsed="false">
      <c r="A61" s="12" t="s">
        <v>262</v>
      </c>
      <c r="B61" s="13" t="s">
        <v>37</v>
      </c>
      <c r="C61" s="13" t="s">
        <v>387</v>
      </c>
    </row>
    <row r="62" customFormat="false" ht="15" hidden="false" customHeight="false" outlineLevel="0" collapsed="false">
      <c r="A62" s="12" t="s">
        <v>168</v>
      </c>
      <c r="B62" s="13" t="s">
        <v>37</v>
      </c>
      <c r="C62" s="13" t="s">
        <v>387</v>
      </c>
    </row>
    <row r="63" customFormat="false" ht="15" hidden="false" customHeight="false" outlineLevel="0" collapsed="false">
      <c r="A63" s="12" t="s">
        <v>264</v>
      </c>
      <c r="B63" s="13" t="s">
        <v>37</v>
      </c>
      <c r="C63" s="13" t="s">
        <v>387</v>
      </c>
    </row>
    <row r="64" customFormat="false" ht="15" hidden="false" customHeight="false" outlineLevel="0" collapsed="false">
      <c r="A64" s="12" t="s">
        <v>122</v>
      </c>
      <c r="B64" s="13" t="s">
        <v>37</v>
      </c>
      <c r="C64" s="13" t="s">
        <v>387</v>
      </c>
    </row>
    <row r="65" customFormat="false" ht="15" hidden="false" customHeight="false" outlineLevel="0" collapsed="false">
      <c r="A65" s="12" t="s">
        <v>265</v>
      </c>
      <c r="B65" s="13" t="s">
        <v>37</v>
      </c>
      <c r="C65" s="13" t="s">
        <v>387</v>
      </c>
    </row>
    <row r="66" customFormat="false" ht="15" hidden="false" customHeight="false" outlineLevel="0" collapsed="false">
      <c r="A66" s="12" t="s">
        <v>266</v>
      </c>
      <c r="B66" s="13" t="s">
        <v>37</v>
      </c>
      <c r="C66" s="13" t="s">
        <v>387</v>
      </c>
    </row>
    <row r="67" customFormat="false" ht="15" hidden="false" customHeight="false" outlineLevel="0" collapsed="false">
      <c r="A67" s="12" t="s">
        <v>338</v>
      </c>
      <c r="B67" s="13" t="s">
        <v>37</v>
      </c>
      <c r="C67" s="13" t="s">
        <v>387</v>
      </c>
    </row>
    <row r="68" customFormat="false" ht="15" hidden="false" customHeight="false" outlineLevel="0" collapsed="false">
      <c r="A68" s="12" t="s">
        <v>268</v>
      </c>
      <c r="B68" s="13" t="s">
        <v>37</v>
      </c>
      <c r="C68" s="13" t="s">
        <v>387</v>
      </c>
    </row>
    <row r="69" customFormat="false" ht="15" hidden="false" customHeight="false" outlineLevel="0" collapsed="false">
      <c r="A69" s="12" t="s">
        <v>272</v>
      </c>
      <c r="B69" s="13" t="s">
        <v>37</v>
      </c>
      <c r="C69" s="13" t="s">
        <v>387</v>
      </c>
    </row>
    <row r="70" customFormat="false" ht="15" hidden="false" customHeight="false" outlineLevel="0" collapsed="false">
      <c r="A70" s="12" t="s">
        <v>277</v>
      </c>
      <c r="B70" s="13" t="s">
        <v>37</v>
      </c>
      <c r="C70" s="13" t="s">
        <v>387</v>
      </c>
    </row>
    <row r="71" customFormat="false" ht="15" hidden="false" customHeight="false" outlineLevel="0" collapsed="false">
      <c r="A71" s="12" t="s">
        <v>122</v>
      </c>
      <c r="B71" s="13" t="s">
        <v>37</v>
      </c>
      <c r="C71" s="13" t="s">
        <v>388</v>
      </c>
    </row>
    <row r="72" customFormat="false" ht="15" hidden="false" customHeight="false" outlineLevel="0" collapsed="false">
      <c r="A72" s="12" t="s">
        <v>265</v>
      </c>
      <c r="B72" s="13" t="s">
        <v>37</v>
      </c>
      <c r="C72" s="13" t="s">
        <v>389</v>
      </c>
    </row>
    <row r="73" customFormat="false" ht="15" hidden="false" customHeight="false" outlineLevel="0" collapsed="false">
      <c r="A73" s="12" t="s">
        <v>266</v>
      </c>
      <c r="B73" s="13" t="s">
        <v>37</v>
      </c>
      <c r="C73" s="13" t="s">
        <v>390</v>
      </c>
    </row>
    <row r="74" customFormat="false" ht="15" hidden="false" customHeight="false" outlineLevel="0" collapsed="false">
      <c r="A74" s="12" t="s">
        <v>340</v>
      </c>
      <c r="B74" s="13" t="s">
        <v>37</v>
      </c>
      <c r="C74" s="13" t="s">
        <v>391</v>
      </c>
    </row>
    <row r="75" customFormat="false" ht="15" hidden="false" customHeight="false" outlineLevel="0" collapsed="false">
      <c r="A75" s="12" t="s">
        <v>279</v>
      </c>
      <c r="B75" s="13" t="s">
        <v>37</v>
      </c>
      <c r="C75" s="13" t="s">
        <v>381</v>
      </c>
    </row>
    <row r="76" customFormat="false" ht="15" hidden="false" customHeight="false" outlineLevel="0" collapsed="false">
      <c r="A76" s="12" t="s">
        <v>39</v>
      </c>
      <c r="B76" s="13" t="s">
        <v>37</v>
      </c>
      <c r="C76" s="13" t="s">
        <v>392</v>
      </c>
    </row>
    <row r="77" customFormat="false" ht="15" hidden="false" customHeight="false" outlineLevel="0" collapsed="false">
      <c r="A77" s="12" t="s">
        <v>170</v>
      </c>
      <c r="B77" s="13" t="s">
        <v>37</v>
      </c>
      <c r="C77" s="13" t="s">
        <v>393</v>
      </c>
    </row>
    <row r="78" customFormat="false" ht="15" hidden="false" customHeight="false" outlineLevel="0" collapsed="false">
      <c r="A78" s="12" t="s">
        <v>176</v>
      </c>
      <c r="B78" s="13" t="s">
        <v>37</v>
      </c>
      <c r="C78" s="13" t="s">
        <v>393</v>
      </c>
    </row>
    <row r="79" customFormat="false" ht="15" hidden="false" customHeight="false" outlineLevel="0" collapsed="false">
      <c r="A79" s="12" t="s">
        <v>179</v>
      </c>
      <c r="B79" s="13" t="s">
        <v>37</v>
      </c>
      <c r="C79" s="13" t="s">
        <v>393</v>
      </c>
    </row>
    <row r="80" customFormat="false" ht="15" hidden="false" customHeight="false" outlineLevel="0" collapsed="false">
      <c r="A80" s="12" t="s">
        <v>182</v>
      </c>
      <c r="B80" s="13" t="s">
        <v>37</v>
      </c>
      <c r="C80" s="13" t="s">
        <v>393</v>
      </c>
    </row>
    <row r="81" customFormat="false" ht="15" hidden="false" customHeight="false" outlineLevel="0" collapsed="false">
      <c r="A81" s="12" t="s">
        <v>185</v>
      </c>
      <c r="B81" s="13" t="s">
        <v>37</v>
      </c>
      <c r="C81" s="13" t="s">
        <v>394</v>
      </c>
    </row>
    <row r="82" customFormat="false" ht="15" hidden="false" customHeight="false" outlineLevel="0" collapsed="false">
      <c r="A82" s="12" t="s">
        <v>185</v>
      </c>
      <c r="B82" s="13" t="s">
        <v>37</v>
      </c>
      <c r="C82" s="13" t="s">
        <v>394</v>
      </c>
    </row>
    <row r="83" customFormat="false" ht="22.35" hidden="false" customHeight="false" outlineLevel="0" collapsed="false">
      <c r="A83" s="12" t="s">
        <v>93</v>
      </c>
      <c r="B83" s="13" t="s">
        <v>37</v>
      </c>
      <c r="C83" s="13" t="s">
        <v>395</v>
      </c>
    </row>
    <row r="84" customFormat="false" ht="15" hidden="false" customHeight="false" outlineLevel="0" collapsed="false">
      <c r="A84" s="12" t="s">
        <v>125</v>
      </c>
      <c r="B84" s="13" t="s">
        <v>37</v>
      </c>
      <c r="C84" s="13" t="s">
        <v>396</v>
      </c>
    </row>
    <row r="85" customFormat="false" ht="15" hidden="false" customHeight="false" outlineLevel="0" collapsed="false">
      <c r="A85" s="12" t="s">
        <v>359</v>
      </c>
      <c r="B85" s="13" t="s">
        <v>37</v>
      </c>
      <c r="C85" s="13" t="s">
        <v>376</v>
      </c>
    </row>
    <row r="86" customFormat="false" ht="15" hidden="false" customHeight="false" outlineLevel="0" collapsed="false">
      <c r="A86" s="12" t="s">
        <v>93</v>
      </c>
      <c r="B86" s="13" t="s">
        <v>37</v>
      </c>
      <c r="C86" s="13" t="s">
        <v>397</v>
      </c>
    </row>
    <row r="87" customFormat="false" ht="15" hidden="false" customHeight="false" outlineLevel="0" collapsed="false">
      <c r="A87" s="12" t="s">
        <v>280</v>
      </c>
      <c r="B87" s="13" t="s">
        <v>37</v>
      </c>
      <c r="C87" s="13" t="s">
        <v>397</v>
      </c>
    </row>
    <row r="88" customFormat="false" ht="15" hidden="false" customHeight="false" outlineLevel="0" collapsed="false">
      <c r="A88" s="12" t="s">
        <v>125</v>
      </c>
      <c r="B88" s="13" t="s">
        <v>37</v>
      </c>
      <c r="C88" s="13" t="s">
        <v>397</v>
      </c>
    </row>
    <row r="89" customFormat="false" ht="15" hidden="false" customHeight="false" outlineLevel="0" collapsed="false">
      <c r="A89" s="12" t="s">
        <v>359</v>
      </c>
      <c r="B89" s="13" t="s">
        <v>37</v>
      </c>
      <c r="C89" s="13" t="s">
        <v>397</v>
      </c>
    </row>
    <row r="90" customFormat="false" ht="15" hidden="false" customHeight="false" outlineLevel="0" collapsed="false">
      <c r="A90" s="12" t="s">
        <v>190</v>
      </c>
      <c r="B90" s="13" t="s">
        <v>37</v>
      </c>
      <c r="C90" s="13" t="s">
        <v>397</v>
      </c>
    </row>
    <row r="91" customFormat="false" ht="15" hidden="false" customHeight="false" outlineLevel="0" collapsed="false">
      <c r="A91" s="12" t="s">
        <v>282</v>
      </c>
      <c r="B91" s="13" t="s">
        <v>37</v>
      </c>
      <c r="C91" s="13" t="s">
        <v>397</v>
      </c>
    </row>
    <row r="92" customFormat="false" ht="15" hidden="false" customHeight="false" outlineLevel="0" collapsed="false">
      <c r="A92" s="12" t="s">
        <v>192</v>
      </c>
      <c r="B92" s="13" t="s">
        <v>37</v>
      </c>
      <c r="C92" s="13" t="s">
        <v>397</v>
      </c>
    </row>
    <row r="93" customFormat="false" ht="15" hidden="false" customHeight="false" outlineLevel="0" collapsed="false">
      <c r="A93" s="12" t="s">
        <v>345</v>
      </c>
      <c r="B93" s="13" t="s">
        <v>37</v>
      </c>
      <c r="C93" s="13" t="s">
        <v>397</v>
      </c>
    </row>
    <row r="94" customFormat="false" ht="15" hidden="false" customHeight="false" outlineLevel="0" collapsed="false">
      <c r="A94" s="12" t="s">
        <v>194</v>
      </c>
      <c r="B94" s="13" t="s">
        <v>37</v>
      </c>
      <c r="C94" s="13" t="s">
        <v>397</v>
      </c>
    </row>
    <row r="95" customFormat="false" ht="15" hidden="false" customHeight="false" outlineLevel="0" collapsed="false">
      <c r="A95" s="12" t="s">
        <v>283</v>
      </c>
      <c r="B95" s="13" t="s">
        <v>37</v>
      </c>
      <c r="C95" s="13" t="s">
        <v>397</v>
      </c>
    </row>
    <row r="96" customFormat="false" ht="15" hidden="false" customHeight="false" outlineLevel="0" collapsed="false">
      <c r="A96" s="12" t="s">
        <v>285</v>
      </c>
      <c r="B96" s="13" t="s">
        <v>37</v>
      </c>
      <c r="C96" s="13" t="s">
        <v>397</v>
      </c>
    </row>
    <row r="97" customFormat="false" ht="22.35" hidden="false" customHeight="false" outlineLevel="0" collapsed="false">
      <c r="A97" s="12" t="s">
        <v>95</v>
      </c>
      <c r="B97" s="13" t="s">
        <v>37</v>
      </c>
      <c r="C97" s="13" t="s">
        <v>398</v>
      </c>
    </row>
    <row r="98" customFormat="false" ht="15" hidden="false" customHeight="false" outlineLevel="0" collapsed="false">
      <c r="A98" s="12" t="s">
        <v>126</v>
      </c>
      <c r="B98" s="13" t="s">
        <v>37</v>
      </c>
      <c r="C98" s="13" t="s">
        <v>399</v>
      </c>
    </row>
    <row r="99" customFormat="false" ht="15" hidden="false" customHeight="false" outlineLevel="0" collapsed="false">
      <c r="A99" s="12" t="s">
        <v>360</v>
      </c>
      <c r="B99" s="13" t="s">
        <v>37</v>
      </c>
      <c r="C99" s="13" t="s">
        <v>376</v>
      </c>
    </row>
    <row r="100" customFormat="false" ht="15" hidden="false" customHeight="false" outlineLevel="0" collapsed="false">
      <c r="A100" s="12" t="s">
        <v>95</v>
      </c>
      <c r="B100" s="13" t="s">
        <v>37</v>
      </c>
      <c r="C100" s="13" t="s">
        <v>400</v>
      </c>
    </row>
    <row r="101" customFormat="false" ht="15" hidden="false" customHeight="false" outlineLevel="0" collapsed="false">
      <c r="A101" s="12" t="s">
        <v>287</v>
      </c>
      <c r="B101" s="13" t="s">
        <v>37</v>
      </c>
      <c r="C101" s="13" t="s">
        <v>400</v>
      </c>
    </row>
    <row r="102" customFormat="false" ht="15" hidden="false" customHeight="false" outlineLevel="0" collapsed="false">
      <c r="A102" s="12" t="s">
        <v>126</v>
      </c>
      <c r="B102" s="13" t="s">
        <v>37</v>
      </c>
      <c r="C102" s="13" t="s">
        <v>400</v>
      </c>
    </row>
    <row r="103" customFormat="false" ht="15" hidden="false" customHeight="false" outlineLevel="0" collapsed="false">
      <c r="A103" s="12" t="s">
        <v>360</v>
      </c>
      <c r="B103" s="13" t="s">
        <v>37</v>
      </c>
      <c r="C103" s="13" t="s">
        <v>400</v>
      </c>
    </row>
    <row r="104" customFormat="false" ht="15" hidden="false" customHeight="false" outlineLevel="0" collapsed="false">
      <c r="A104" s="12" t="s">
        <v>196</v>
      </c>
      <c r="B104" s="13" t="s">
        <v>37</v>
      </c>
      <c r="C104" s="13" t="s">
        <v>400</v>
      </c>
    </row>
    <row r="105" customFormat="false" ht="15" hidden="false" customHeight="false" outlineLevel="0" collapsed="false">
      <c r="A105" s="12" t="s">
        <v>289</v>
      </c>
      <c r="B105" s="13" t="s">
        <v>37</v>
      </c>
      <c r="C105" s="13" t="s">
        <v>400</v>
      </c>
    </row>
    <row r="106" customFormat="false" ht="15" hidden="false" customHeight="false" outlineLevel="0" collapsed="false">
      <c r="A106" s="12" t="s">
        <v>127</v>
      </c>
      <c r="B106" s="13" t="s">
        <v>37</v>
      </c>
      <c r="C106" s="13" t="s">
        <v>400</v>
      </c>
    </row>
    <row r="107" customFormat="false" ht="15" hidden="false" customHeight="false" outlineLevel="0" collapsed="false">
      <c r="A107" s="12" t="s">
        <v>290</v>
      </c>
      <c r="B107" s="13" t="s">
        <v>37</v>
      </c>
      <c r="C107" s="13" t="s">
        <v>400</v>
      </c>
    </row>
    <row r="108" customFormat="false" ht="15" hidden="false" customHeight="false" outlineLevel="0" collapsed="false">
      <c r="A108" s="12" t="s">
        <v>291</v>
      </c>
      <c r="B108" s="13" t="s">
        <v>37</v>
      </c>
      <c r="C108" s="13" t="s">
        <v>400</v>
      </c>
    </row>
    <row r="109" customFormat="false" ht="22.35" hidden="false" customHeight="false" outlineLevel="0" collapsed="false">
      <c r="A109" s="12" t="s">
        <v>97</v>
      </c>
      <c r="B109" s="13" t="s">
        <v>37</v>
      </c>
      <c r="C109" s="13" t="s">
        <v>401</v>
      </c>
    </row>
    <row r="110" customFormat="false" ht="22.35" hidden="false" customHeight="false" outlineLevel="0" collapsed="false">
      <c r="A110" s="12" t="s">
        <v>129</v>
      </c>
      <c r="B110" s="13" t="s">
        <v>37</v>
      </c>
      <c r="C110" s="13" t="s">
        <v>402</v>
      </c>
    </row>
    <row r="111" customFormat="false" ht="15" hidden="false" customHeight="false" outlineLevel="0" collapsed="false">
      <c r="A111" s="12" t="s">
        <v>361</v>
      </c>
      <c r="B111" s="13" t="s">
        <v>37</v>
      </c>
      <c r="C111" s="13" t="s">
        <v>376</v>
      </c>
    </row>
    <row r="112" customFormat="false" ht="15" hidden="false" customHeight="false" outlineLevel="0" collapsed="false">
      <c r="A112" s="12" t="s">
        <v>130</v>
      </c>
      <c r="B112" s="13" t="s">
        <v>37</v>
      </c>
      <c r="C112" s="13" t="s">
        <v>403</v>
      </c>
    </row>
    <row r="113" customFormat="false" ht="15" hidden="false" customHeight="false" outlineLevel="0" collapsed="false">
      <c r="A113" s="12" t="s">
        <v>97</v>
      </c>
      <c r="B113" s="13" t="s">
        <v>37</v>
      </c>
      <c r="C113" s="13" t="s">
        <v>404</v>
      </c>
    </row>
    <row r="114" customFormat="false" ht="15" hidden="false" customHeight="false" outlineLevel="0" collapsed="false">
      <c r="A114" s="12" t="s">
        <v>293</v>
      </c>
      <c r="B114" s="13" t="s">
        <v>37</v>
      </c>
      <c r="C114" s="13" t="s">
        <v>404</v>
      </c>
    </row>
    <row r="115" customFormat="false" ht="15" hidden="false" customHeight="false" outlineLevel="0" collapsed="false">
      <c r="A115" s="12" t="s">
        <v>129</v>
      </c>
      <c r="B115" s="13" t="s">
        <v>37</v>
      </c>
      <c r="C115" s="13" t="s">
        <v>404</v>
      </c>
    </row>
    <row r="116" customFormat="false" ht="15" hidden="false" customHeight="false" outlineLevel="0" collapsed="false">
      <c r="A116" s="12" t="s">
        <v>361</v>
      </c>
      <c r="B116" s="13" t="s">
        <v>37</v>
      </c>
      <c r="C116" s="13" t="s">
        <v>404</v>
      </c>
    </row>
    <row r="117" customFormat="false" ht="15" hidden="false" customHeight="false" outlineLevel="0" collapsed="false">
      <c r="A117" s="12" t="s">
        <v>295</v>
      </c>
      <c r="B117" s="13" t="s">
        <v>37</v>
      </c>
      <c r="C117" s="13" t="s">
        <v>404</v>
      </c>
    </row>
    <row r="118" customFormat="false" ht="15" hidden="false" customHeight="false" outlineLevel="0" collapsed="false">
      <c r="A118" s="12" t="s">
        <v>198</v>
      </c>
      <c r="B118" s="13" t="s">
        <v>37</v>
      </c>
      <c r="C118" s="13" t="s">
        <v>404</v>
      </c>
    </row>
    <row r="119" customFormat="false" ht="15" hidden="false" customHeight="false" outlineLevel="0" collapsed="false">
      <c r="A119" s="12" t="s">
        <v>347</v>
      </c>
      <c r="B119" s="13" t="s">
        <v>37</v>
      </c>
      <c r="C119" s="13" t="s">
        <v>404</v>
      </c>
    </row>
    <row r="120" customFormat="false" ht="15" hidden="false" customHeight="false" outlineLevel="0" collapsed="false">
      <c r="A120" s="12" t="s">
        <v>200</v>
      </c>
      <c r="B120" s="13" t="s">
        <v>37</v>
      </c>
      <c r="C120" s="13" t="s">
        <v>404</v>
      </c>
    </row>
    <row r="121" customFormat="false" ht="15" hidden="false" customHeight="false" outlineLevel="0" collapsed="false">
      <c r="A121" s="12" t="s">
        <v>297</v>
      </c>
      <c r="B121" s="13" t="s">
        <v>37</v>
      </c>
      <c r="C121" s="13" t="s">
        <v>404</v>
      </c>
    </row>
    <row r="122" customFormat="false" ht="15" hidden="false" customHeight="false" outlineLevel="0" collapsed="false">
      <c r="A122" s="12" t="s">
        <v>302</v>
      </c>
      <c r="B122" s="13" t="s">
        <v>37</v>
      </c>
      <c r="C122" s="13" t="s">
        <v>404</v>
      </c>
    </row>
    <row r="123" customFormat="false" ht="22.35" hidden="false" customHeight="false" outlineLevel="0" collapsed="false">
      <c r="A123" s="12" t="s">
        <v>100</v>
      </c>
      <c r="B123" s="13" t="s">
        <v>37</v>
      </c>
      <c r="C123" s="13" t="s">
        <v>405</v>
      </c>
    </row>
    <row r="124" customFormat="false" ht="15" hidden="false" customHeight="false" outlineLevel="0" collapsed="false">
      <c r="A124" s="12" t="s">
        <v>136</v>
      </c>
      <c r="B124" s="13" t="s">
        <v>37</v>
      </c>
      <c r="C124" s="13" t="s">
        <v>406</v>
      </c>
    </row>
    <row r="125" customFormat="false" ht="15" hidden="false" customHeight="false" outlineLevel="0" collapsed="false">
      <c r="A125" s="12" t="s">
        <v>362</v>
      </c>
      <c r="B125" s="13" t="s">
        <v>37</v>
      </c>
      <c r="C125" s="13" t="s">
        <v>376</v>
      </c>
    </row>
    <row r="126" customFormat="false" ht="15" hidden="false" customHeight="false" outlineLevel="0" collapsed="false">
      <c r="A126" s="12" t="s">
        <v>100</v>
      </c>
      <c r="B126" s="13" t="s">
        <v>37</v>
      </c>
      <c r="C126" s="13" t="s">
        <v>407</v>
      </c>
    </row>
    <row r="127" customFormat="false" ht="15" hidden="false" customHeight="false" outlineLevel="0" collapsed="false">
      <c r="A127" s="12" t="s">
        <v>304</v>
      </c>
      <c r="B127" s="13" t="s">
        <v>37</v>
      </c>
      <c r="C127" s="13" t="s">
        <v>407</v>
      </c>
    </row>
    <row r="128" customFormat="false" ht="15" hidden="false" customHeight="false" outlineLevel="0" collapsed="false">
      <c r="A128" s="12" t="s">
        <v>136</v>
      </c>
      <c r="B128" s="13" t="s">
        <v>37</v>
      </c>
      <c r="C128" s="13" t="s">
        <v>407</v>
      </c>
    </row>
    <row r="129" customFormat="false" ht="15" hidden="false" customHeight="false" outlineLevel="0" collapsed="false">
      <c r="A129" s="12" t="s">
        <v>362</v>
      </c>
      <c r="B129" s="13" t="s">
        <v>37</v>
      </c>
      <c r="C129" s="13" t="s">
        <v>407</v>
      </c>
    </row>
    <row r="130" customFormat="false" ht="15" hidden="false" customHeight="false" outlineLevel="0" collapsed="false">
      <c r="A130" s="12" t="s">
        <v>137</v>
      </c>
      <c r="B130" s="13" t="s">
        <v>37</v>
      </c>
      <c r="C130" s="13" t="s">
        <v>407</v>
      </c>
    </row>
    <row r="131" customFormat="false" ht="15" hidden="false" customHeight="false" outlineLevel="0" collapsed="false">
      <c r="A131" s="12" t="s">
        <v>306</v>
      </c>
      <c r="B131" s="13" t="s">
        <v>37</v>
      </c>
      <c r="C131" s="13" t="s">
        <v>407</v>
      </c>
    </row>
    <row r="132" customFormat="false" ht="15" hidden="false" customHeight="false" outlineLevel="0" collapsed="false">
      <c r="A132" s="12" t="s">
        <v>202</v>
      </c>
      <c r="B132" s="13" t="s">
        <v>37</v>
      </c>
      <c r="C132" s="13" t="s">
        <v>407</v>
      </c>
    </row>
    <row r="133" customFormat="false" ht="15" hidden="false" customHeight="false" outlineLevel="0" collapsed="false">
      <c r="A133" s="12" t="s">
        <v>349</v>
      </c>
      <c r="B133" s="13" t="s">
        <v>37</v>
      </c>
      <c r="C133" s="13" t="s">
        <v>407</v>
      </c>
    </row>
    <row r="134" customFormat="false" ht="15" hidden="false" customHeight="false" outlineLevel="0" collapsed="false">
      <c r="A134" s="12" t="s">
        <v>204</v>
      </c>
      <c r="B134" s="13" t="s">
        <v>37</v>
      </c>
      <c r="C134" s="13" t="s">
        <v>407</v>
      </c>
    </row>
    <row r="135" customFormat="false" ht="15" hidden="false" customHeight="false" outlineLevel="0" collapsed="false">
      <c r="A135" s="12" t="s">
        <v>307</v>
      </c>
      <c r="B135" s="13" t="s">
        <v>37</v>
      </c>
      <c r="C135" s="13" t="s">
        <v>407</v>
      </c>
    </row>
    <row r="136" customFormat="false" ht="15" hidden="false" customHeight="false" outlineLevel="0" collapsed="false">
      <c r="A136" s="12" t="s">
        <v>309</v>
      </c>
      <c r="B136" s="13" t="s">
        <v>37</v>
      </c>
      <c r="C136" s="13" t="s">
        <v>407</v>
      </c>
    </row>
    <row r="137" customFormat="false" ht="15" hidden="false" customHeight="false" outlineLevel="0" collapsed="false">
      <c r="A137" s="12" t="s">
        <v>47</v>
      </c>
      <c r="B137" s="13" t="s">
        <v>37</v>
      </c>
      <c r="C137" s="13" t="s">
        <v>408</v>
      </c>
    </row>
    <row r="138" customFormat="false" ht="15" hidden="false" customHeight="false" outlineLevel="0" collapsed="false">
      <c r="A138" s="12" t="s">
        <v>54</v>
      </c>
      <c r="B138" s="13" t="s">
        <v>37</v>
      </c>
      <c r="C138" s="13" t="s">
        <v>409</v>
      </c>
    </row>
    <row r="139" customFormat="false" ht="15" hidden="false" customHeight="false" outlineLevel="0" collapsed="false">
      <c r="A139" s="12" t="s">
        <v>58</v>
      </c>
      <c r="B139" s="13" t="s">
        <v>37</v>
      </c>
      <c r="C139" s="13" t="s">
        <v>410</v>
      </c>
    </row>
    <row r="140" customFormat="false" ht="15" hidden="false" customHeight="false" outlineLevel="0" collapsed="false">
      <c r="A140" s="12" t="s">
        <v>62</v>
      </c>
      <c r="B140" s="13" t="s">
        <v>37</v>
      </c>
      <c r="C140" s="13" t="s">
        <v>411</v>
      </c>
    </row>
    <row r="141" customFormat="false" ht="15" hidden="false" customHeight="false" outlineLevel="0" collapsed="false">
      <c r="A141" s="12" t="s">
        <v>30</v>
      </c>
      <c r="B141" s="13" t="s">
        <v>37</v>
      </c>
      <c r="C141" s="13" t="s">
        <v>412</v>
      </c>
    </row>
    <row r="142" customFormat="false" ht="22.35" hidden="false" customHeight="false" outlineLevel="0" collapsed="false">
      <c r="A142" s="12" t="s">
        <v>67</v>
      </c>
      <c r="B142" s="13" t="s">
        <v>37</v>
      </c>
      <c r="C142" s="13" t="s">
        <v>413</v>
      </c>
    </row>
    <row r="143" customFormat="false" ht="15" hidden="false" customHeight="false" outlineLevel="0" collapsed="false">
      <c r="A143" s="12" t="s">
        <v>71</v>
      </c>
      <c r="B143" s="13" t="s">
        <v>37</v>
      </c>
      <c r="C143" s="13" t="s">
        <v>414</v>
      </c>
    </row>
    <row r="144" customFormat="false" ht="15" hidden="false" customHeight="false" outlineLevel="0" collapsed="false">
      <c r="A144" s="12" t="s">
        <v>75</v>
      </c>
      <c r="B144" s="13" t="s">
        <v>37</v>
      </c>
      <c r="C144" s="13" t="s">
        <v>415</v>
      </c>
    </row>
    <row r="145" customFormat="false" ht="15" hidden="false" customHeight="false" outlineLevel="0" collapsed="false">
      <c r="A145" s="12" t="s">
        <v>311</v>
      </c>
      <c r="B145" s="13" t="s">
        <v>37</v>
      </c>
      <c r="C145" s="13" t="s">
        <v>416</v>
      </c>
    </row>
    <row r="146" customFormat="false" ht="15" hidden="false" customHeight="false" outlineLevel="0" collapsed="false">
      <c r="A146" s="12" t="s">
        <v>318</v>
      </c>
      <c r="B146" s="13" t="s">
        <v>37</v>
      </c>
      <c r="C146" s="13" t="s">
        <v>417</v>
      </c>
    </row>
  </sheetData>
  <autoFilter ref="A1:C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5" t="s">
        <v>372</v>
      </c>
      <c r="B1" s="5" t="s">
        <v>418</v>
      </c>
      <c r="C1" s="5" t="s">
        <v>419</v>
      </c>
    </row>
    <row r="2" customFormat="false" ht="22.35" hidden="false" customHeight="false" outlineLevel="0" collapsed="false">
      <c r="A2" s="12" t="s">
        <v>37</v>
      </c>
      <c r="B2" s="13" t="s">
        <v>420</v>
      </c>
      <c r="C2" s="13" t="s">
        <v>421</v>
      </c>
    </row>
    <row r="3" customFormat="false" ht="22.35" hidden="false" customHeight="false" outlineLevel="0" collapsed="false">
      <c r="A3" s="12" t="s">
        <v>37</v>
      </c>
      <c r="B3" s="13" t="s">
        <v>420</v>
      </c>
      <c r="C3" s="13" t="s">
        <v>422</v>
      </c>
    </row>
    <row r="4" customFormat="false" ht="22.35" hidden="false" customHeight="false" outlineLevel="0" collapsed="false">
      <c r="A4" s="12" t="s">
        <v>37</v>
      </c>
      <c r="B4" s="13" t="s">
        <v>420</v>
      </c>
      <c r="C4" s="13" t="s">
        <v>423</v>
      </c>
    </row>
    <row r="5" customFormat="false" ht="22.35" hidden="false" customHeight="false" outlineLevel="0" collapsed="false">
      <c r="A5" s="12" t="s">
        <v>37</v>
      </c>
      <c r="B5" s="13" t="s">
        <v>420</v>
      </c>
      <c r="C5" s="13" t="s">
        <v>424</v>
      </c>
    </row>
    <row r="6" customFormat="false" ht="22.35" hidden="false" customHeight="false" outlineLevel="0" collapsed="false">
      <c r="A6" s="12" t="s">
        <v>37</v>
      </c>
      <c r="B6" s="13" t="s">
        <v>420</v>
      </c>
      <c r="C6" s="13" t="s">
        <v>425</v>
      </c>
    </row>
    <row r="7" customFormat="false" ht="22.35" hidden="false" customHeight="false" outlineLevel="0" collapsed="false">
      <c r="A7" s="12" t="s">
        <v>37</v>
      </c>
      <c r="B7" s="13" t="s">
        <v>420</v>
      </c>
      <c r="C7" s="13" t="s">
        <v>426</v>
      </c>
    </row>
    <row r="8" customFormat="false" ht="32.8" hidden="false" customHeight="false" outlineLevel="0" collapsed="false">
      <c r="A8" s="12" t="s">
        <v>37</v>
      </c>
      <c r="B8" s="13" t="s">
        <v>427</v>
      </c>
      <c r="C8" s="13" t="s">
        <v>428</v>
      </c>
    </row>
    <row r="9" customFormat="false" ht="22.35" hidden="false" customHeight="false" outlineLevel="0" collapsed="false">
      <c r="A9" s="12" t="s">
        <v>37</v>
      </c>
      <c r="B9" s="13" t="s">
        <v>427</v>
      </c>
      <c r="C9" s="13" t="s">
        <v>429</v>
      </c>
    </row>
    <row r="10" customFormat="false" ht="32.8" hidden="false" customHeight="false" outlineLevel="0" collapsed="false">
      <c r="A10" s="12" t="s">
        <v>37</v>
      </c>
      <c r="B10" s="13" t="s">
        <v>430</v>
      </c>
      <c r="C10" s="13" t="s">
        <v>431</v>
      </c>
    </row>
    <row r="11" customFormat="false" ht="22.35" hidden="false" customHeight="false" outlineLevel="0" collapsed="false">
      <c r="A11" s="12" t="s">
        <v>37</v>
      </c>
      <c r="B11" s="13" t="s">
        <v>420</v>
      </c>
      <c r="C11" s="13" t="s">
        <v>432</v>
      </c>
    </row>
    <row r="12" customFormat="false" ht="22.35" hidden="false" customHeight="false" outlineLevel="0" collapsed="false">
      <c r="A12" s="12" t="s">
        <v>37</v>
      </c>
      <c r="B12" s="13" t="s">
        <v>420</v>
      </c>
      <c r="C12" s="13" t="s">
        <v>433</v>
      </c>
    </row>
    <row r="13" customFormat="false" ht="22.35" hidden="false" customHeight="false" outlineLevel="0" collapsed="false">
      <c r="A13" s="12" t="s">
        <v>37</v>
      </c>
      <c r="B13" s="13" t="s">
        <v>420</v>
      </c>
      <c r="C13" s="13" t="s">
        <v>434</v>
      </c>
    </row>
    <row r="14" customFormat="false" ht="22.35" hidden="false" customHeight="false" outlineLevel="0" collapsed="false">
      <c r="A14" s="12" t="s">
        <v>37</v>
      </c>
      <c r="B14" s="13" t="s">
        <v>420</v>
      </c>
      <c r="C14" s="13" t="s">
        <v>435</v>
      </c>
    </row>
    <row r="15" customFormat="false" ht="22.35" hidden="false" customHeight="false" outlineLevel="0" collapsed="false">
      <c r="A15" s="12" t="s">
        <v>37</v>
      </c>
      <c r="B15" s="13" t="s">
        <v>436</v>
      </c>
      <c r="C15" s="13" t="s">
        <v>437</v>
      </c>
    </row>
    <row r="16" customFormat="false" ht="22.35" hidden="false" customHeight="false" outlineLevel="0" collapsed="false">
      <c r="A16" s="12" t="s">
        <v>37</v>
      </c>
      <c r="B16" s="13" t="s">
        <v>436</v>
      </c>
      <c r="C16" s="13" t="s">
        <v>438</v>
      </c>
    </row>
    <row r="17" customFormat="false" ht="22.35" hidden="false" customHeight="false" outlineLevel="0" collapsed="false">
      <c r="A17" s="12" t="s">
        <v>37</v>
      </c>
      <c r="B17" s="13" t="s">
        <v>436</v>
      </c>
      <c r="C17" s="13" t="s">
        <v>439</v>
      </c>
    </row>
    <row r="18" customFormat="false" ht="22.35" hidden="false" customHeight="false" outlineLevel="0" collapsed="false">
      <c r="A18" s="12" t="s">
        <v>37</v>
      </c>
      <c r="B18" s="13" t="s">
        <v>436</v>
      </c>
      <c r="C18" s="13" t="s">
        <v>440</v>
      </c>
    </row>
    <row r="19" customFormat="false" ht="22.35" hidden="false" customHeight="false" outlineLevel="0" collapsed="false">
      <c r="A19" s="12" t="s">
        <v>37</v>
      </c>
      <c r="B19" s="13" t="s">
        <v>436</v>
      </c>
      <c r="C19" s="13" t="s">
        <v>441</v>
      </c>
    </row>
    <row r="20" customFormat="false" ht="22.35" hidden="false" customHeight="false" outlineLevel="0" collapsed="false">
      <c r="A20" s="12" t="s">
        <v>37</v>
      </c>
      <c r="B20" s="13" t="s">
        <v>436</v>
      </c>
      <c r="C20" s="13" t="s">
        <v>442</v>
      </c>
    </row>
    <row r="21" customFormat="false" ht="22.35" hidden="false" customHeight="false" outlineLevel="0" collapsed="false">
      <c r="A21" s="12" t="s">
        <v>37</v>
      </c>
      <c r="B21" s="13" t="s">
        <v>436</v>
      </c>
      <c r="C21" s="13" t="s">
        <v>443</v>
      </c>
    </row>
    <row r="22" customFormat="false" ht="15" hidden="false" customHeight="false" outlineLevel="0" collapsed="false">
      <c r="A22" s="12" t="s">
        <v>37</v>
      </c>
      <c r="B22" s="13" t="s">
        <v>444</v>
      </c>
      <c r="C22" s="13" t="s">
        <v>445</v>
      </c>
    </row>
    <row r="23" customFormat="false" ht="15" hidden="false" customHeight="false" outlineLevel="0" collapsed="false">
      <c r="A23" s="12" t="s">
        <v>37</v>
      </c>
      <c r="B23" s="13" t="s">
        <v>444</v>
      </c>
      <c r="C23" s="13" t="s">
        <v>446</v>
      </c>
    </row>
    <row r="24" customFormat="false" ht="15" hidden="false" customHeight="false" outlineLevel="0" collapsed="false">
      <c r="A24" s="12" t="s">
        <v>37</v>
      </c>
      <c r="B24" s="13" t="s">
        <v>444</v>
      </c>
      <c r="C24" s="13" t="s">
        <v>447</v>
      </c>
    </row>
  </sheetData>
  <autoFilter ref="A1:C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2026-07-22T15:15:59Z</dcterms:created>
  <dc:creator>openpyxl</dc:creator>
  <dc:description/>
  <dc:language>en-US</dc:language>
  <cp:lastModifiedBy/>
  <dcterms:modified xsi:type="dcterms:W3CDTF">2026-07-22T15:15:59Z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