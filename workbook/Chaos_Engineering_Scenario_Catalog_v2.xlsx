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ce Inventory" sheetId="2" state="visible" r:id="rId2"/>
    <sheet xmlns:r="http://schemas.openxmlformats.org/officeDocument/2006/relationships" name="Scenario Catalog" sheetId="3" state="visible" r:id="rId3"/>
    <sheet xmlns:r="http://schemas.openxmlformats.org/officeDocument/2006/relationships" name="Priority Model" sheetId="4" state="visible" r:id="rId4"/>
    <sheet xmlns:r="http://schemas.openxmlformats.org/officeDocument/2006/relationships" name="Wave Plan" sheetId="5" state="visible" r:id="rId5"/>
    <sheet xmlns:r="http://schemas.openxmlformats.org/officeDocument/2006/relationships" name="Coverage Matrix" sheetId="6" state="visible" r:id="rId6"/>
    <sheet xmlns:r="http://schemas.openxmlformats.org/officeDocument/2006/relationships" name="Open Items" sheetId="7" state="visible" r:id="rId7"/>
    <sheet xmlns:r="http://schemas.openxmlformats.org/officeDocument/2006/relationships" name="App Scan Instructions" sheetId="8" state="visible" r:id="rId8"/>
    <sheet xmlns:r="http://schemas.openxmlformats.org/officeDocument/2006/relationships" name="Infra Scan Instructions" sheetId="9" state="visible" r:id="rId9"/>
  </sheets>
  <definedNames>
    <definedName name="_xlnm._FilterDatabase" localSheetId="1" hidden="1">'Service Inventory'!$A$1:$N$18</definedName>
    <definedName name="_xlnm._FilterDatabase" localSheetId="2" hidden="1">'Scenario Catalog'!$A$1:$Y$91</definedName>
    <definedName name="_xlnm._FilterDatabase" localSheetId="6" hidden="1">'Open Items'!$A$1:$E$15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1F3864"/>
      <sz val="14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E89AF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BED7EF"/>
          <bgColor rgb="FF000000"/>
        </patternFill>
      </fill>
    </dxf>
    <dxf>
      <fill>
        <patternFill patternType="solid">
          <fgColor rgb="FFDFEBF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A5729"/>
          <bgColor rgb="FF000000"/>
        </patternFill>
      </fill>
    </dxf>
    <dxf>
      <fill>
        <patternFill patternType="solid">
          <fgColor rgb="FFE06D33"/>
          <bgColor rgb="FF000000"/>
        </patternFill>
      </fill>
    </dxf>
    <dxf>
      <fill>
        <patternFill patternType="solid">
          <fgColor rgb="FFF3AE52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D76"/>
          <bgColor rgb="FF000000"/>
        </patternFill>
      </fill>
    </dxf>
    <dxf>
      <fill>
        <patternFill patternType="solid">
          <fgColor rgb="FFFFE185"/>
          <bgColor rgb="FF000000"/>
        </patternFill>
      </fill>
    </dxf>
    <dxf>
      <fill>
        <patternFill patternType="solid">
          <fgColor rgb="FFFFE9A4"/>
          <bgColor rgb="FF000000"/>
        </patternFill>
      </fill>
    </dxf>
    <dxf>
      <fill>
        <patternFill patternType="solid">
          <fgColor rgb="FFFFECB3"/>
          <bgColor rgb="FF000000"/>
        </patternFill>
      </fill>
    </dxf>
    <dxf>
      <fill>
        <patternFill patternType="solid">
          <fgColor rgb="FFFFF0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8" min="1" max="1"/>
    <col width="130" customWidth="1" style="18" min="2" max="2"/>
  </cols>
  <sheetData>
    <row r="1" ht="19.5" customHeight="1" s="19">
      <c r="A1" s="20" t="inlineStr">
        <is>
          <t>Chaos Engineering Scenario Catalog</t>
        </is>
      </c>
    </row>
    <row r="2" ht="15" customHeight="1" s="19">
      <c r="A2" s="21" t="inlineStr">
        <is>
          <t>Audience: Sr. technical leadership (program review) and the Chaos Engineering team (execution). Derived from code-based assessment artifacts, C1–C4/EAC diagrams, the recon (DTR) pipeline diagram/narrative, and prior FMEA / timeout-chain / DR work. Nothing in the catalog is invented beyond those sources; unknowns are flagged in Open Items.</t>
        </is>
      </c>
    </row>
    <row r="3"/>
    <row r="4" ht="15" customHeight="1" s="19">
      <c r="A4" s="22" t="inlineStr">
        <is>
          <t>Sheets</t>
        </is>
      </c>
      <c r="B4" s="23" t="n"/>
    </row>
    <row r="5" ht="23.25" customHeight="1" s="19">
      <c r="A5" s="24" t="inlineStr">
        <is>
          <t>1. Service Inventory</t>
        </is>
      </c>
      <c r="B5" s="25" t="inlineStr">
        <is>
          <t>The 17 Core services with archetype, DR posture, ingress, data stores, RDS Proxy status, dependencies and scheduled jobs. Source of truth for scenario targeting.</t>
        </is>
      </c>
    </row>
    <row r="6" ht="15" customHeight="1" s="19">
      <c r="A6" s="24" t="inlineStr">
        <is>
          <t>2. Scenario Catalog</t>
        </is>
      </c>
      <c r="B6" s="25" t="inlineStr">
        <is>
          <t>The full experiment catalog. One row per scenario. Filter by Wave, Fault Domain, Archetype, Target Service or Injection Plane.</t>
        </is>
      </c>
    </row>
    <row r="7" ht="15" customHeight="1" s="19">
      <c r="A7" s="24" t="inlineStr">
        <is>
          <t>3. Priority Model</t>
        </is>
      </c>
      <c r="B7" s="25" t="inlineStr">
        <is>
          <t>Scoring definitions for Likelihood and Severity, and how Priority and Wave assignment work.</t>
        </is>
      </c>
    </row>
    <row r="8" ht="15" customHeight="1" s="19">
      <c r="A8" s="24" t="inlineStr">
        <is>
          <t>4. Wave Plan</t>
        </is>
      </c>
      <c r="B8" s="25" t="inlineStr">
        <is>
          <t>Execution waves with theme, entry/exit criteria and live scenario counts.</t>
        </is>
      </c>
    </row>
    <row r="9" ht="15" customHeight="1" s="19">
      <c r="A9" s="24" t="inlineStr">
        <is>
          <t>5. Coverage Matrix</t>
        </is>
      </c>
      <c r="B9" s="25" t="inlineStr">
        <is>
          <t>Fault Domain × Wave and Fault Domain × Injection Plane counts, computed live from the catalog.</t>
        </is>
      </c>
    </row>
    <row r="10" ht="15" customHeight="1" s="19">
      <c r="A10" s="24" t="inlineStr">
        <is>
          <t>6. Open Items</t>
        </is>
      </c>
      <c r="B10" s="25" t="inlineStr">
        <is>
          <t>Unknowns, confirmations pending, and documentation gaps that gate specific scenarios.</t>
        </is>
      </c>
    </row>
    <row r="11" ht="15" customHeight="1" s="19">
      <c r="A11" s="24" t="inlineStr">
        <is>
          <t>7. App Scan Instructions</t>
        </is>
      </c>
      <c r="B11" s="23" t="inlineStr">
        <is>
          <t>Durable method for scanning any application repo (Maven multi-module) for resilience-relevant facts: dependency/version census, resilience config, timeout chain, retry amplification inputs, Kafka consumer config, idempotency evidence, anti-pattern sweep, and perf-vs-prod profile diff. Re-runnable on future services unchanged.</t>
        </is>
      </c>
    </row>
    <row r="12" ht="15" customHeight="1" s="19">
      <c r="A12" s="24" t="inlineStr">
        <is>
          <t>8. Infra Scan Instructions</t>
        </is>
      </c>
      <c r="B12" s="23" t="inlineStr">
        <is>
          <t>Durable method for discovering cloud components from infrastructure-as-code (tool-agnostic: Terraform/CDK/CloudFormation/Serverless), reconciling them against the Service Inventory tab, and onboarding new AWS components/services into the taxonomy going forward.</t>
        </is>
      </c>
    </row>
    <row r="13" ht="23.25" customHeight="1" s="19">
      <c r="A13" s="22" t="n"/>
      <c r="B13" s="23" t="n"/>
    </row>
    <row r="14" ht="23.25" customHeight="1" s="19">
      <c r="A14" s="22" t="inlineStr">
        <is>
          <t>Key concepts</t>
        </is>
      </c>
      <c r="B14" s="23" t="n"/>
    </row>
    <row r="15" ht="23.25" customHeight="1" s="19">
      <c r="A15" s="24" t="inlineStr">
        <is>
          <t>Injection plane</t>
        </is>
      </c>
      <c r="B15" s="25" t="inlineStr">
        <is>
          <t>Infrastructure = fault injected below the app (FIS, network, AWS resources). Application = fault injected inside the request path (latency/exceptions/errors via app-level tooling or a proxy). Compound = multiple simultaneous faults. Detection = the hypothesis is about observability, not recovery.</t>
        </is>
      </c>
    </row>
    <row r="16" ht="23.25" customHeight="1" s="19">
      <c r="A16" s="24" t="inlineStr">
        <is>
          <t>Dual success criteria</t>
        </is>
      </c>
      <c r="B16" s="25" t="inlineStr">
        <is>
          <t>Every scenario has TWO pass conditions: the system behaved as hypothesized AND the fault was detected/alerted correctly (Dynatrace + CloudWatch). A fault that recovers silently is a FAILED experiment. Detection baseline scenarios (CE-OBS-*) run in Wave 1 for this reason.</t>
        </is>
      </c>
    </row>
    <row r="17" ht="15" customHeight="1" s="19">
      <c r="A17" s="24" t="inlineStr">
        <is>
          <t>PERF validity</t>
        </is>
      </c>
      <c r="B17" s="25" t="inlineStr">
        <is>
          <t>High = result transfers to PROD with confidence. Medium = transfers with caveats (capacity/data-volume/config deltas). Low = PERF result is indicative only; needs eventual PROD validation or explicit delta analysis.</t>
        </is>
      </c>
    </row>
    <row r="18" ht="15" customHeight="1" s="19">
      <c r="A18" s="24" t="inlineStr">
        <is>
          <t>Steady state first</t>
        </is>
      </c>
      <c r="B18" s="25" t="inlineStr">
        <is>
          <t>A scenario is not runnable until its steady-state signal exists and is trusted. If the SLI/dashboard for the hypothesis is missing or unvalidated, that is itself a Wave-1 finding.</t>
        </is>
      </c>
    </row>
    <row r="19" ht="23.25" customHeight="1" s="19">
      <c r="A19" s="22" t="n"/>
      <c r="B19" s="23" t="n"/>
    </row>
    <row r="20" ht="15" customHeight="1" s="19">
      <c r="A20" s="22" t="inlineStr">
        <is>
          <t>How to use (chaos team)</t>
        </is>
      </c>
      <c r="B20" s="23" t="n"/>
    </row>
    <row r="21" ht="23.25" customHeight="1" s="19">
      <c r="A21" s="24" t="inlineStr">
        <is>
          <t>Cells to fill in</t>
        </is>
      </c>
      <c r="B21" s="25" t="inlineStr">
        <is>
          <t>YELLOW cells are yours to populate: FMEA Ref (map each scenario to the existing FMEA scenario IDs — ASSESSED items first), Journeys (which of the 16 official journeys the scenario exercises), and Status as work progresses (Proposed → Ready → Executed → Confirmed / Finding).</t>
        </is>
      </c>
    </row>
    <row r="22" ht="23.25" customHeight="1" s="19">
      <c r="A22" s="24" t="inlineStr">
        <is>
          <t>Example of a filled row</t>
        </is>
      </c>
      <c r="B22" s="25" t="inlineStr">
        <is>
          <t>CE-COM-01 carries example values in its FMEA Ref and Journeys cells (marked 'EXAMPLE —') showing the expected format. Replace with real IDs.</t>
        </is>
      </c>
    </row>
    <row r="23" ht="23.25" customHeight="1" s="19">
      <c r="A23" s="24" t="inlineStr">
        <is>
          <t>Prerequisites</t>
        </is>
      </c>
      <c r="B23" s="25" t="inlineStr">
        <is>
          <t>Prereq IDs = scenarios that must be Confirmed before this one is meaningful (singles before compounds). Waves are sequenced so prerequisites always land in an earlier or same wave.</t>
        </is>
      </c>
    </row>
    <row r="24" ht="23.25" customHeight="1" s="19">
      <c r="A24" s="24" t="inlineStr">
        <is>
          <t>Governance</t>
        </is>
      </c>
      <c r="B24" s="25" t="inlineStr">
        <is>
          <t>Wave 1–2 run in PERF game days with evidence capture per run. Wave 3–4 include coordination-heavy and DR drills; treat each as a scheduled event with stakeholder sign-off. Production experimentation is out of scope for this catalog version.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8" min="1" max="1"/>
    <col width="26" customWidth="1" style="18" min="2" max="2"/>
    <col width="9" customWidth="1" style="18" min="3" max="3"/>
    <col width="8" customWidth="1" style="18" min="4" max="4"/>
    <col width="24" customWidth="1" style="18" min="5" max="5"/>
    <col width="22" customWidth="1" style="18" min="6" max="6"/>
    <col width="34" customWidth="1" style="18" min="7" max="7"/>
    <col width="30" customWidth="1" style="18" min="8" max="8"/>
    <col width="10" customWidth="1" style="18" min="9" max="9"/>
    <col width="34" customWidth="1" style="18" min="10" max="10"/>
    <col width="30" customWidth="1" style="18" min="11" max="11"/>
    <col width="36" customWidth="1" style="18" min="12" max="12"/>
    <col width="24" customWidth="1" style="18" min="13" max="13"/>
    <col width="30" customWidth="1" style="18" min="14" max="14"/>
  </cols>
  <sheetData>
    <row r="1" ht="23.25" customHeight="1" s="19">
      <c r="A1" s="26" t="inlineStr">
        <is>
          <t>#</t>
        </is>
      </c>
      <c r="B1" s="26" t="inlineStr">
        <is>
          <t>Service</t>
        </is>
      </c>
      <c r="C1" s="26" t="inlineStr">
        <is>
          <t>Acronym</t>
        </is>
      </c>
      <c r="D1" s="26" t="inlineStr">
        <is>
          <t>APG</t>
        </is>
      </c>
      <c r="E1" s="26" t="inlineStr">
        <is>
          <t>Archetype</t>
        </is>
      </c>
      <c r="F1" s="26" t="inlineStr">
        <is>
          <t>DR Posture</t>
        </is>
      </c>
      <c r="G1" s="26" t="inlineStr">
        <is>
          <t>Ingress</t>
        </is>
      </c>
      <c r="H1" s="26" t="inlineStr">
        <is>
          <t>Data Stores</t>
        </is>
      </c>
      <c r="I1" s="26" t="inlineStr">
        <is>
          <t>RDS Proxy</t>
        </is>
      </c>
      <c r="J1" s="26" t="inlineStr">
        <is>
          <t>Core-internal Sync Deps</t>
        </is>
      </c>
      <c r="K1" s="26" t="inlineStr">
        <is>
          <t>External Sync Deps</t>
        </is>
      </c>
      <c r="L1" s="26" t="inlineStr">
        <is>
          <t>Async Produces / Consumes</t>
        </is>
      </c>
      <c r="M1" s="26" t="inlineStr">
        <is>
          <t>Scheduled Jobs</t>
        </is>
      </c>
      <c r="N1" s="26" t="inlineStr">
        <is>
          <t>Doc Status / Notes</t>
        </is>
      </c>
    </row>
    <row r="2" ht="32.25" customHeight="1" s="19">
      <c r="A2" s="27" t="n">
        <v>1</v>
      </c>
      <c r="B2" s="27" t="inlineStr">
        <is>
          <t>Account Locator Component</t>
        </is>
      </c>
      <c r="C2" s="27" t="inlineStr">
        <is>
          <t>ALS</t>
        </is>
      </c>
      <c r="D2" s="27" t="inlineStr">
        <is>
          <t>LOCR</t>
        </is>
      </c>
      <c r="E2" s="27" t="inlineStr">
        <is>
          <t>Sync API + batch extract — mixed</t>
        </is>
      </c>
      <c r="F2" s="27" t="inlineStr">
        <is>
          <t>Active/Active (latency routing)</t>
        </is>
      </c>
      <c r="G2" s="27" t="inlineStr">
        <is>
          <t>R53→NLB→API GW→NLB→ALB→ECS</t>
        </is>
      </c>
      <c r="H2" s="27" t="inlineStr">
        <is>
          <t>Aurora (direct), ElastiCache, S3 (RDS→S3 Lambda)</t>
        </is>
      </c>
      <c r="I2" s="27" t="inlineStr">
        <is>
          <t>No (direct)</t>
        </is>
      </c>
      <c r="J2" s="27" t="inlineStr">
        <is>
          <t>ACL (Register)</t>
        </is>
      </c>
      <c r="K2" s="27" t="inlineStr">
        <is>
          <t>Inbound only (ARR/FAP/DCPA/DCP/Payments/SPG/OCS)</t>
        </is>
      </c>
      <c r="L2" s="27" t="inlineStr">
        <is>
          <t>Prod: Locator Event→MBUS→Datalake; Batch: Lambda→S3→MFT→EDX</t>
        </is>
      </c>
      <c r="M2" s="27" t="inlineStr">
        <is>
          <t>Batch extract</t>
        </is>
      </c>
      <c r="N2" s="27" t="inlineStr">
        <is>
          <t>OK</t>
        </is>
      </c>
    </row>
    <row r="3" ht="21.75" customHeight="1" s="19">
      <c r="A3" s="27" t="n">
        <v>2</v>
      </c>
      <c r="B3" s="27" t="inlineStr">
        <is>
          <t>Account Reference Management</t>
        </is>
      </c>
      <c r="C3" s="27" t="inlineStr">
        <is>
          <t>ARM</t>
        </is>
      </c>
      <c r="D3" s="27" t="inlineStr">
        <is>
          <t>ACCT</t>
        </is>
      </c>
      <c r="E3" s="27" t="inlineStr">
        <is>
          <t>Sync API</t>
        </is>
      </c>
      <c r="F3" s="27" t="inlineStr">
        <is>
          <t>Active/Active</t>
        </is>
      </c>
      <c r="G3" s="27" t="inlineStr">
        <is>
          <t>R53→NLB→API GW→NLB→ALB→ECS</t>
        </is>
      </c>
      <c r="H3" s="27" t="inlineStr">
        <is>
          <t>Aurora (direct), ElastiCache</t>
        </is>
      </c>
      <c r="I3" s="27" t="inlineStr">
        <is>
          <t>No (direct)</t>
        </is>
      </c>
      <c r="J3" s="27" t="inlineStr">
        <is>
          <t>Inbound only (SAM/AFM/DBE/DTE/DSM/DCM)</t>
        </is>
      </c>
      <c r="K3" s="27" t="inlineStr">
        <is>
          <t>none</t>
        </is>
      </c>
      <c r="L3" s="27" t="inlineStr">
        <is>
          <t>none shown</t>
        </is>
      </c>
      <c r="M3" s="27" t="inlineStr">
        <is>
          <t>none</t>
        </is>
      </c>
      <c r="N3" s="27" t="inlineStr">
        <is>
          <t>OK</t>
        </is>
      </c>
    </row>
    <row r="4" ht="21.75" customHeight="1" s="19">
      <c r="A4" s="27" t="n">
        <v>3</v>
      </c>
      <c r="B4" s="27" t="inlineStr">
        <is>
          <t>Core Account Management</t>
        </is>
      </c>
      <c r="C4" s="27" t="inlineStr">
        <is>
          <t>SAM</t>
        </is>
      </c>
      <c r="D4" s="27" t="inlineStr">
        <is>
          <t>ACCT</t>
        </is>
      </c>
      <c r="E4" s="27" t="inlineStr">
        <is>
          <t>Orchestrator (acct lifecycle) — mixed</t>
        </is>
      </c>
      <c r="F4" s="27" t="inlineStr">
        <is>
          <t>Active/Passive</t>
        </is>
      </c>
      <c r="G4" s="27" t="inlineStr">
        <is>
          <t>R53→NLB→API GW→NLB→ALB→ECS (from SMB/ARR)</t>
        </is>
      </c>
      <c r="H4" s="27" t="inlineStr">
        <is>
          <t>Aurora (direct — Core DB)</t>
        </is>
      </c>
      <c r="I4" s="27" t="inlineStr">
        <is>
          <t>No (direct)</t>
        </is>
      </c>
      <c r="J4" s="27" t="inlineStr">
        <is>
          <t>ALS, ARM, AFM, ACL</t>
        </is>
      </c>
      <c r="K4" s="27" t="inlineStr">
        <is>
          <t>CBS (Account Mgmt)</t>
        </is>
      </c>
      <c r="L4" s="27" t="inlineStr">
        <is>
          <t>Prod: Core Acct Change→MBUS→Datalake; Cons: MBUS incl. RECN EOD Completion</t>
        </is>
      </c>
      <c r="M4" s="27" t="inlineStr">
        <is>
          <t>none</t>
        </is>
      </c>
      <c r="N4" s="27" t="inlineStr">
        <is>
          <t>OK</t>
        </is>
      </c>
    </row>
    <row r="5" ht="21.75" customHeight="1" s="19">
      <c r="A5" s="27" t="n">
        <v>4</v>
      </c>
      <c r="B5" s="27" t="inlineStr">
        <is>
          <t>Account Feature Management</t>
        </is>
      </c>
      <c r="C5" s="27" t="inlineStr">
        <is>
          <t>AFM</t>
        </is>
      </c>
      <c r="D5" s="27" t="inlineStr">
        <is>
          <t>ACCT</t>
        </is>
      </c>
      <c r="E5" s="27" t="inlineStr">
        <is>
          <t>Sync API + event publisher — mixed</t>
        </is>
      </c>
      <c r="F5" s="27" t="inlineStr">
        <is>
          <t>Active/Passive</t>
        </is>
      </c>
      <c r="G5" s="27" t="inlineStr">
        <is>
          <t>R53→NLB→API GW→NLB→ALB→ECS (from SAM)</t>
        </is>
      </c>
      <c r="H5" s="27" t="inlineStr">
        <is>
          <t>Aurora (direct — AFM DB), ElastiCache</t>
        </is>
      </c>
      <c r="I5" s="27" t="inlineStr">
        <is>
          <t>No (direct)</t>
        </is>
      </c>
      <c r="J5" s="27" t="inlineStr">
        <is>
          <t>MCC, DBE, DSM, DCM, ARM, ACL</t>
        </is>
      </c>
      <c r="K5" s="27" t="inlineStr">
        <is>
          <t>CBS Posting, CBS Transaction</t>
        </is>
      </c>
      <c r="L5" s="27" t="inlineStr">
        <is>
          <t>Prod: Feature State Change→MBUS (→DCP-TA, Datalake)</t>
        </is>
      </c>
      <c r="M5" s="27" t="inlineStr">
        <is>
          <t>none</t>
        </is>
      </c>
      <c r="N5" s="27" t="inlineStr">
        <is>
          <t>OK</t>
        </is>
      </c>
    </row>
    <row r="6" ht="15" customHeight="1" s="19">
      <c r="A6" s="27" t="n">
        <v>5</v>
      </c>
      <c r="B6" s="27" t="inlineStr">
        <is>
          <t>Account Locator Admin Tool</t>
        </is>
      </c>
      <c r="C6" s="27" t="inlineStr">
        <is>
          <t>DLAT</t>
        </is>
      </c>
      <c r="D6" s="27" t="inlineStr">
        <is>
          <t>LOCR</t>
        </is>
      </c>
      <c r="E6" s="27" t="inlineStr">
        <is>
          <t>Not shown (infra diagram only)</t>
        </is>
      </c>
      <c r="F6" s="27" t="inlineStr">
        <is>
          <t>Active/Passive (per rule)</t>
        </is>
      </c>
      <c r="G6" s="27" t="inlineStr">
        <is>
          <t>R53→NLB→ALB→ECS — NO API GW</t>
        </is>
      </c>
      <c r="H6" s="27" t="inlineStr">
        <is>
          <t>Aurora (direct), S3</t>
        </is>
      </c>
      <c r="I6" s="27" t="inlineStr">
        <is>
          <t>No (direct)</t>
        </is>
      </c>
      <c r="J6" s="27" t="inlineStr">
        <is>
          <t>not shown</t>
        </is>
      </c>
      <c r="K6" s="27" t="inlineStr">
        <is>
          <t>not shown</t>
        </is>
      </c>
      <c r="L6" s="27" t="inlineStr">
        <is>
          <t>not shown</t>
        </is>
      </c>
      <c r="M6" s="27" t="inlineStr">
        <is>
          <t>none</t>
        </is>
      </c>
      <c r="N6" s="28" t="inlineStr">
        <is>
          <t>GAP — dependencies undocumented</t>
        </is>
      </c>
    </row>
    <row r="7" ht="21.75" customHeight="1" s="19">
      <c r="A7" s="27" t="n">
        <v>6</v>
      </c>
      <c r="B7" s="27" t="inlineStr">
        <is>
          <t>Attribute Change Log</t>
        </is>
      </c>
      <c r="C7" s="27" t="inlineStr">
        <is>
          <t>ACL</t>
        </is>
      </c>
      <c r="D7" s="27" t="inlineStr">
        <is>
          <t>ACCT</t>
        </is>
      </c>
      <c r="E7" s="27" t="inlineStr">
        <is>
          <t>Event aggregator/consumer + Sync API — mixed</t>
        </is>
      </c>
      <c r="F7" s="27" t="inlineStr">
        <is>
          <t>Active/Passive (per rule)</t>
        </is>
      </c>
      <c r="G7" s="27" t="inlineStr">
        <is>
          <t>R53→NLB→API GW→NLB→ALB→ECS</t>
        </is>
      </c>
      <c r="H7" s="27" t="inlineStr">
        <is>
          <t>Aurora (direct — History Datastore)</t>
        </is>
      </c>
      <c r="I7" s="27" t="inlineStr">
        <is>
          <t>No (direct)</t>
        </is>
      </c>
      <c r="J7" s="27" t="inlineStr">
        <is>
          <t>Receives SAM/AFM/ALS registrations</t>
        </is>
      </c>
      <c r="K7" s="27" t="inlineStr">
        <is>
          <t>none</t>
        </is>
      </c>
      <c r="L7" s="27" t="inlineStr">
        <is>
          <t>Cons: Core Acct Change, Feature Change (SAM/AFM/ALS)</t>
        </is>
      </c>
      <c r="M7" s="27" t="inlineStr">
        <is>
          <t>none</t>
        </is>
      </c>
      <c r="N7" s="27" t="inlineStr">
        <is>
          <t>OK</t>
        </is>
      </c>
    </row>
    <row r="8" ht="32.25" customHeight="1" s="19">
      <c r="A8" s="27" t="n">
        <v>7</v>
      </c>
      <c r="B8" s="27" t="inlineStr">
        <is>
          <t>Core Subledger Management</t>
        </is>
      </c>
      <c r="C8" s="27" t="inlineStr">
        <is>
          <t>DSM</t>
        </is>
      </c>
      <c r="D8" s="27" t="inlineStr">
        <is>
          <t>REFD</t>
        </is>
      </c>
      <c r="E8" s="27" t="inlineStr">
        <is>
          <t>Sync API + event publisher — mixed</t>
        </is>
      </c>
      <c r="F8" s="27" t="inlineStr">
        <is>
          <t>Active/Passive; cross-region repl., bidirectional Aurora</t>
        </is>
      </c>
      <c r="G8" s="27" t="inlineStr">
        <is>
          <t>External NLB→API GW→Internal NLB→ALB→ECS Anywhere</t>
        </is>
      </c>
      <c r="H8" s="27" t="inlineStr">
        <is>
          <t>Aurora (direct — writer/reader nodes), IN-MEMORY HASHMAP</t>
        </is>
      </c>
      <c r="I8" s="27" t="inlineStr">
        <is>
          <t>No (direct)</t>
        </is>
      </c>
      <c r="J8" s="27" t="inlineStr">
        <is>
          <t>MCC, ARM (migration lookup)</t>
        </is>
      </c>
      <c r="K8" s="27" t="inlineStr">
        <is>
          <t>CBS (Subledger+RoutingRule, Balance Inquiry), Payments/MMS</t>
        </is>
      </c>
      <c r="L8" s="27" t="inlineStr">
        <is>
          <t>Prod: Subledger CUD→MBUS→AU+Continuum/DataLake; +Migration Topic</t>
        </is>
      </c>
      <c r="M8" s="27" t="inlineStr">
        <is>
          <t>none</t>
        </is>
      </c>
      <c r="N8" s="27" t="inlineStr">
        <is>
          <t>In-memory state — see CE-COM-05</t>
        </is>
      </c>
    </row>
    <row r="9" ht="21.75" customHeight="1" s="19">
      <c r="A9" s="27" t="n">
        <v>8</v>
      </c>
      <c r="B9" s="27" t="inlineStr">
        <is>
          <t>Spend-Track Experience Svc</t>
        </is>
      </c>
      <c r="C9" s="27" t="inlineStr">
        <is>
          <t>SSE</t>
        </is>
      </c>
      <c r="D9" s="27" t="inlineStr">
        <is>
          <t>REFD</t>
        </is>
      </c>
      <c r="E9" s="27" t="inlineStr">
        <is>
          <t>No diagram provided</t>
        </is>
      </c>
      <c r="F9" s="27" t="inlineStr">
        <is>
          <t>3-Active (+us-west-2, stateless per rule)</t>
        </is>
      </c>
      <c r="G9" s="27" t="inlineStr">
        <is>
          <t>no diagram</t>
        </is>
      </c>
      <c r="H9" s="27" t="inlineStr">
        <is>
          <t>no diagram</t>
        </is>
      </c>
      <c r="I9" s="27" t="inlineStr">
        <is>
          <t>TBC</t>
        </is>
      </c>
      <c r="J9" s="27" t="inlineStr">
        <is>
          <t>no diagram</t>
        </is>
      </c>
      <c r="K9" s="27" t="inlineStr">
        <is>
          <t>no diagram</t>
        </is>
      </c>
      <c r="L9" s="27" t="inlineStr">
        <is>
          <t>no diagram</t>
        </is>
      </c>
      <c r="M9" s="27" t="inlineStr">
        <is>
          <t>none</t>
        </is>
      </c>
      <c r="N9" s="28" t="inlineStr">
        <is>
          <t>GAP — no artifact at all; scenarios blocked</t>
        </is>
      </c>
    </row>
    <row r="10" ht="21.75" customHeight="1" s="19">
      <c r="A10" s="27" t="n">
        <v>9</v>
      </c>
      <c r="B10" s="27" t="inlineStr">
        <is>
          <t>Tasks Experience Svc</t>
        </is>
      </c>
      <c r="C10" s="27" t="inlineStr">
        <is>
          <t>CHE</t>
        </is>
      </c>
      <c r="D10" s="27" t="inlineStr">
        <is>
          <t>ENRC</t>
        </is>
      </c>
      <c r="E10" s="27" t="inlineStr">
        <is>
          <t>Edge/BFF</t>
        </is>
      </c>
      <c r="F10" s="27" t="inlineStr">
        <is>
          <t>3-Active (+us-west-2, stateless)</t>
        </is>
      </c>
      <c r="G10" s="27" t="inlineStr">
        <is>
          <t>Via DPS Proxy/Digital; shares 900069 ingress</t>
        </is>
      </c>
      <c r="H10" s="27" t="inlineStr">
        <is>
          <t>none of its own shown</t>
        </is>
      </c>
      <c r="I10" s="27" t="inlineStr">
        <is>
          <t>n/a</t>
        </is>
      </c>
      <c r="J10" s="27" t="inlineStr">
        <is>
          <t>DCM (Task Inquiry for Nudges), MCC (Spend Categories)</t>
        </is>
      </c>
      <c r="K10" s="27" t="inlineStr">
        <is>
          <t>none shown</t>
        </is>
      </c>
      <c r="L10" s="27" t="inlineStr">
        <is>
          <t>none shown</t>
        </is>
      </c>
      <c r="M10" s="27" t="inlineStr">
        <is>
          <t>none</t>
        </is>
      </c>
      <c r="N10" s="27" t="inlineStr">
        <is>
          <t>Reconstructed from other diagrams</t>
        </is>
      </c>
    </row>
    <row r="11" ht="32.25" customHeight="1" s="19">
      <c r="A11" s="27" t="n">
        <v>10</v>
      </c>
      <c r="B11" s="27" t="inlineStr">
        <is>
          <t>Transaction Experience Svc</t>
        </is>
      </c>
      <c r="C11" s="27" t="inlineStr">
        <is>
          <t>TE</t>
        </is>
      </c>
      <c r="D11" s="27" t="inlineStr">
        <is>
          <t>ALRT</t>
        </is>
      </c>
      <c r="E11" s="27" t="inlineStr">
        <is>
          <t>Edge/BFF</t>
        </is>
      </c>
      <c r="F11" s="27" t="inlineStr">
        <is>
          <t>3-Active (+us-west-2)</t>
        </is>
      </c>
      <c r="G11" s="27" t="inlineStr">
        <is>
          <t>Akamai→CTC→DPS Proxy→Transit GW→R53→API GW (AuthAnywhere token validate)→NLB→ALB→ECS</t>
        </is>
      </c>
      <c r="H11" s="27" t="inlineStr">
        <is>
          <t>none (stateless)</t>
        </is>
      </c>
      <c r="I11" s="27" t="inlineStr">
        <is>
          <t>n/a</t>
        </is>
      </c>
      <c r="J11" s="27" t="inlineStr">
        <is>
          <t>none</t>
        </is>
      </c>
      <c r="K11" s="27" t="inlineStr">
        <is>
          <t>ChannelContext, ETU/TU Transactions, GKP on-prem via Envoy, AuthAnywhere</t>
        </is>
      </c>
      <c r="L11" s="27" t="inlineStr">
        <is>
          <t>none shown</t>
        </is>
      </c>
      <c r="M11" s="27" t="inlineStr">
        <is>
          <t>none</t>
        </is>
      </c>
      <c r="N11" s="27" t="inlineStr">
        <is>
          <t>OK</t>
        </is>
      </c>
    </row>
    <row r="12" ht="21.75" customHeight="1" s="19">
      <c r="A12" s="27" t="n">
        <v>11</v>
      </c>
      <c r="B12" s="27" t="inlineStr">
        <is>
          <t>MCC Data Management Svc</t>
        </is>
      </c>
      <c r="C12" s="27" t="inlineStr">
        <is>
          <t>MCC</t>
        </is>
      </c>
      <c r="D12" s="27" t="inlineStr">
        <is>
          <t>REFD</t>
        </is>
      </c>
      <c r="E12" s="27" t="inlineStr">
        <is>
          <t>Sync API (ref data) + scheduled pipeline — mixed</t>
        </is>
      </c>
      <c r="F12" s="27" t="inlineStr">
        <is>
          <t>Active/Passive; DR: PILOT LIGHT</t>
        </is>
      </c>
      <c r="G12" s="27" t="inlineStr">
        <is>
          <t>API GW→NLB→ALB→ECS (+ On-Prem API GW); EventBridge scheduler (ETU pull)</t>
        </is>
      </c>
      <c r="H12" s="27" t="inlineStr">
        <is>
          <t>Aurora (direct — Local Data Store), S3 (config)</t>
        </is>
      </c>
      <c r="I12" s="27" t="inlineStr">
        <is>
          <t>No (direct)</t>
        </is>
      </c>
      <c r="J12" s="27" t="inlineStr">
        <is>
          <t>Inbound only (DSM, SAM/Acct Creation, Tasks Exp)</t>
        </is>
      </c>
      <c r="K12" s="27" t="inlineStr">
        <is>
          <t>ETU (GET Reference Data, scheduled)</t>
        </is>
      </c>
      <c r="L12" s="27" t="inlineStr">
        <is>
          <t>Scheduler-triggered ETU pull; writes config→S3; no Kafka publish</t>
        </is>
      </c>
      <c r="M12" s="27" t="inlineStr">
        <is>
          <t>EventBridge ETU pull</t>
        </is>
      </c>
      <c r="N12" s="27" t="inlineStr">
        <is>
          <t>OK</t>
        </is>
      </c>
    </row>
    <row r="13" ht="42.75" customHeight="1" s="19">
      <c r="A13" s="27" t="n">
        <v>12</v>
      </c>
      <c r="B13" s="27" t="inlineStr">
        <is>
          <t>Core Task Management</t>
        </is>
      </c>
      <c r="C13" s="27" t="inlineStr">
        <is>
          <t>DCM</t>
        </is>
      </c>
      <c r="D13" s="27" t="inlineStr">
        <is>
          <t>ENRC</t>
        </is>
      </c>
      <c r="E13" s="27" t="inlineStr">
        <is>
          <t>Sync API (CRUD) + event publisher + scheduled job — mixed</t>
        </is>
      </c>
      <c r="F13" s="27" t="inlineStr">
        <is>
          <t>Active/Passive (Warm Standby)</t>
        </is>
      </c>
      <c r="G13" s="27" t="inlineStr">
        <is>
          <t>Via DPS Proxy/Digital &amp; Banking Payments→NLB→NLB→ALB (+API GW Regional Endpt); weekly-job scheduler via SQS</t>
        </is>
      </c>
      <c r="H13" s="27" t="inlineStr">
        <is>
          <t>Aurora (RDS PROXY, separate Global cluster), ElastiCache (shared), SQS+DLQ</t>
        </is>
      </c>
      <c r="I13" s="29" t="inlineStr">
        <is>
          <t>YES</t>
        </is>
      </c>
      <c r="J13" s="27" t="inlineStr">
        <is>
          <t>ARM, SAM, Core Alerts (DCC 900070)</t>
        </is>
      </c>
      <c r="K13" s="27" t="inlineStr">
        <is>
          <t>CBS (posting/balance inquiry via Digital Payments)</t>
        </is>
      </c>
      <c r="L13" s="27" t="inlineStr">
        <is>
          <t>Prod: Task Life Cycle→MBUS (→Alerts, DTE); SQS: weekly future-task job</t>
        </is>
      </c>
      <c r="M13" s="27" t="inlineStr">
        <is>
          <t>Weekly SQS-driven job</t>
        </is>
      </c>
      <c r="N13" s="27" t="inlineStr">
        <is>
          <t>OK</t>
        </is>
      </c>
    </row>
    <row r="14" ht="32.25" customHeight="1" s="19">
      <c r="A14" s="27" t="n">
        <v>13</v>
      </c>
      <c r="B14" s="27" t="inlineStr">
        <is>
          <t>Core Balance Enrichment</t>
        </is>
      </c>
      <c r="C14" s="27" t="inlineStr">
        <is>
          <t>DBE</t>
        </is>
      </c>
      <c r="D14" s="27" t="inlineStr">
        <is>
          <t>ENRC</t>
        </is>
      </c>
      <c r="E14" s="27" t="inlineStr">
        <is>
          <t>Event processor + Data-Quality/Balances API — mixed</t>
        </is>
      </c>
      <c r="F14" s="27" t="inlineStr">
        <is>
          <t>Active/Passive (Warm Standby; RTO&lt;2h, RPO PoF)</t>
        </is>
      </c>
      <c r="G14" s="27" t="inlineStr">
        <is>
          <t>Kafka (MBUS) CBS Balance Changed; + API (API GW→NLB→ALB)</t>
        </is>
      </c>
      <c r="H14" s="27" t="inlineStr">
        <is>
          <t>Aurora (RDS PROXY, shared Global cluster/own schema), ElastiCache (shared)</t>
        </is>
      </c>
      <c r="I14" s="29" t="inlineStr">
        <is>
          <t>YES</t>
        </is>
      </c>
      <c r="J14" s="27" t="inlineStr">
        <is>
          <t>ARM (acct identifier), DSM (Subledger Inquiry — cache-miss fallback)</t>
        </is>
      </c>
      <c r="K14" s="27" t="inlineStr">
        <is>
          <t>none</t>
        </is>
      </c>
      <c r="L14" s="27" t="inlineStr">
        <is>
          <t>Cons: CBS Balance Changed. Prod: Enriched Sub-Ledger Balance Updated→MBUS→AU</t>
        </is>
      </c>
      <c r="M14" s="27" t="inlineStr">
        <is>
          <t>none</t>
        </is>
      </c>
      <c r="N14" s="27" t="inlineStr">
        <is>
          <t>Parameter Store reload strategy</t>
        </is>
      </c>
    </row>
    <row r="15" ht="32.25" customHeight="1" s="19">
      <c r="A15" s="27" t="n">
        <v>14</v>
      </c>
      <c r="B15" s="27" t="inlineStr">
        <is>
          <t>Core Transaction Enrichment</t>
        </is>
      </c>
      <c r="C15" s="27" t="inlineStr">
        <is>
          <t>DTE</t>
        </is>
      </c>
      <c r="D15" s="27" t="inlineStr">
        <is>
          <t>ENRC</t>
        </is>
      </c>
      <c r="E15" s="27" t="inlineStr">
        <is>
          <t>Event processor + Data-Quality/Subledger-Txn API — mixed</t>
        </is>
      </c>
      <c r="F15" s="27" t="inlineStr">
        <is>
          <t>Active/Passive (Warm Standby)</t>
        </is>
      </c>
      <c r="G15" s="27" t="inlineStr">
        <is>
          <t>Kafka (MBUS) CBS Transaction Events; + API (API GW→NLB→ALB)</t>
        </is>
      </c>
      <c r="H15" s="27" t="inlineStr">
        <is>
          <t>Aurora (RDS PROXY, shared Global cluster/own schema), ElastiCache (shared)</t>
        </is>
      </c>
      <c r="I15" s="29" t="inlineStr">
        <is>
          <t>YES</t>
        </is>
      </c>
      <c r="J15" s="27" t="inlineStr">
        <is>
          <t>ARM, DSM (fallback), Task Svc (Get Task Name)</t>
        </is>
      </c>
      <c r="K15" s="27" t="inlineStr">
        <is>
          <t>none</t>
        </is>
      </c>
      <c r="L15" s="27" t="inlineStr">
        <is>
          <t>Cons: CBS Transaction Events. Prod: Enriched Sub-Ledger Txn→MBUS→ETU</t>
        </is>
      </c>
      <c r="M15" s="27" t="inlineStr">
        <is>
          <t>none</t>
        </is>
      </c>
      <c r="N15" s="27" t="inlineStr">
        <is>
          <t>Drawn from shared PDF (folders 13/15)</t>
        </is>
      </c>
    </row>
    <row r="16" ht="32.25" customHeight="1" s="19">
      <c r="A16" s="27" t="n">
        <v>15</v>
      </c>
      <c r="B16" s="27" t="inlineStr">
        <is>
          <t>Core Sub Ledger Data Consumer</t>
        </is>
      </c>
      <c r="C16" s="27" t="inlineStr">
        <is>
          <t>DSC</t>
        </is>
      </c>
      <c r="D16" s="27" t="inlineStr">
        <is>
          <t>ENRC</t>
        </is>
      </c>
      <c r="E16" s="27" t="inlineStr">
        <is>
          <t>Event processor (consumer → cache warmer)</t>
        </is>
      </c>
      <c r="F16" s="27" t="inlineStr">
        <is>
          <t>Active/Passive (Warm Standby)</t>
        </is>
      </c>
      <c r="G16" s="27" t="inlineStr">
        <is>
          <t>Kafka (MBUS) Subledger CUD / Partition Lifecycle (from DSM)</t>
        </is>
      </c>
      <c r="H16" s="27" t="inlineStr">
        <is>
          <t>ElastiCache (writes subledger type/name), Aurora (shared cluster/own schema)</t>
        </is>
      </c>
      <c r="I16" s="27" t="inlineStr">
        <is>
          <t>No (direct)</t>
        </is>
      </c>
      <c r="J16" s="27" t="inlineStr">
        <is>
          <t>none</t>
        </is>
      </c>
      <c r="K16" s="27" t="inlineStr">
        <is>
          <t>none</t>
        </is>
      </c>
      <c r="L16" s="27" t="inlineStr">
        <is>
          <t>Cons: Subledger CUD/Lifecycle. Prod: none</t>
        </is>
      </c>
      <c r="M16" s="27" t="inlineStr">
        <is>
          <t>none</t>
        </is>
      </c>
      <c r="N16" s="27" t="inlineStr">
        <is>
          <t>Cache-warmer — silent-failure risk</t>
        </is>
      </c>
    </row>
    <row r="17" ht="42.75" customHeight="1" s="19">
      <c r="A17" s="27" t="n">
        <v>16</v>
      </c>
      <c r="B17" s="27" t="inlineStr">
        <is>
          <t>Core Transaction Recon</t>
        </is>
      </c>
      <c r="C17" s="27" t="inlineStr">
        <is>
          <t>DTR</t>
        </is>
      </c>
      <c r="D17" s="27" t="inlineStr">
        <is>
          <t>RECN</t>
        </is>
      </c>
      <c r="E17" s="27" t="inlineStr">
        <is>
          <t>Recon / pipeline (batch + event-driven)</t>
        </is>
      </c>
      <c r="F17" s="27" t="inlineStr">
        <is>
          <t>Active/Passive; cross-region S3 + bidirectional Aurora</t>
        </is>
      </c>
      <c r="G17" s="27" t="inlineStr">
        <is>
          <t>file/MFT (EDX RDF/ADF/CDF→S3→SQS→Lambda); EventBridge scheduler; Kafka CBS EOD Completion</t>
        </is>
      </c>
      <c r="H17" s="27" t="inlineStr">
        <is>
          <t>S3 (recon/ack/anomaly), ElastiCache (EOD txn cache), Aurora Global, SQS</t>
        </is>
      </c>
      <c r="I17" s="27" t="inlineStr">
        <is>
          <t>No (direct)</t>
        </is>
      </c>
      <c r="J17" s="27" t="inlineStr">
        <is>
          <t>Core Transaction Svc (Txn Inquiry — SOR fallback)</t>
        </is>
      </c>
      <c r="K17" s="27" t="inlineStr">
        <is>
          <t>CBS (EOD Txn Inquiry, Posting API for corrections), EDX (email)</t>
        </is>
      </c>
      <c r="L17" s="27" t="inlineStr">
        <is>
          <t>Cons: CBS EOD Completion + Balance/Txn CUD. Prod: Bankwise Recon Completion→Acct Closure (SAM), Recon Event; SQS/SNS/Lambda</t>
        </is>
      </c>
      <c r="M17" s="27" t="inlineStr">
        <is>
          <t>EventBridge SLA validator</t>
        </is>
      </c>
      <c r="N17" s="27" t="inlineStr">
        <is>
          <t>Dual-trigger pipeline — see CE-PIPE</t>
        </is>
      </c>
    </row>
    <row r="18" ht="32.25" customHeight="1" s="19">
      <c r="A18" s="27" t="n">
        <v>17</v>
      </c>
      <c r="B18" s="27" t="inlineStr">
        <is>
          <t>Core Alerts</t>
        </is>
      </c>
      <c r="C18" s="27" t="inlineStr">
        <is>
          <t>DAL</t>
        </is>
      </c>
      <c r="D18" s="27" t="inlineStr">
        <is>
          <t>ALRT</t>
        </is>
      </c>
      <c r="E18" s="27" t="inlineStr">
        <is>
          <t>Event processor + API intake — mixed</t>
        </is>
      </c>
      <c r="F18" s="27" t="inlineStr">
        <is>
          <t>Active/Passive</t>
        </is>
      </c>
      <c r="G18" s="27" t="inlineStr">
        <is>
          <t>Kafka (Enriched Txn CUD, Task Lifecycle, D2 Alert Topic) + API; CRON scheduler (failure recovery); API GW/NLB/ALB/R53</t>
        </is>
      </c>
      <c r="H18" s="27" t="inlineStr">
        <is>
          <t>Aurora (direct — Alerts DB / RDS Global)</t>
        </is>
      </c>
      <c r="I18" s="27" t="inlineStr">
        <is>
          <t>No (direct)</t>
        </is>
      </c>
      <c r="J18" s="27" t="inlineStr">
        <is>
          <t>none</t>
        </is>
      </c>
      <c r="K18" s="27" t="inlineStr">
        <is>
          <t>CSU (Fetch Parent/Child, payload enrichment)</t>
        </is>
      </c>
      <c r="L18" s="27" t="inlineStr">
        <is>
          <t>Cons: Enriched Txn CUD + Task Lifecycle. Prod: enriched alerts→Notify Alert Topic→NOTIFY</t>
        </is>
      </c>
      <c r="M18" s="27" t="inlineStr">
        <is>
          <t>Cron (failure recovery)</t>
        </is>
      </c>
      <c r="N18" s="27" t="inlineStr">
        <is>
          <t>OK</t>
        </is>
      </c>
    </row>
  </sheetData>
  <autoFilter ref="A1:N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8" min="1" max="1"/>
    <col width="30" customWidth="1" style="18" min="2" max="2"/>
    <col width="15" customWidth="1" style="18" min="3" max="3"/>
    <col width="13" customWidth="1" style="18" min="4" max="4"/>
    <col width="17" customWidth="1" style="18" min="5" max="5"/>
    <col width="20" customWidth="1" style="18" min="6" max="6"/>
    <col width="42" customWidth="1" style="18" min="7" max="8"/>
    <col width="26" customWidth="1" style="18" min="9" max="9"/>
    <col width="18" customWidth="1" style="18" min="10" max="10"/>
    <col width="22" customWidth="1" style="18" min="11" max="11"/>
    <col width="34" customWidth="1" style="18" min="12" max="12"/>
    <col width="30" customWidth="1" style="18" min="13" max="13"/>
    <col width="9" customWidth="1" style="18" min="14" max="14"/>
    <col width="26" customWidth="1" style="18" min="15" max="15"/>
    <col width="7" customWidth="1" style="18" min="16" max="18"/>
    <col width="6" customWidth="1" style="18" min="19" max="19"/>
    <col width="12" customWidth="1" style="18" min="20" max="20"/>
    <col width="14" customWidth="1" style="18" min="21" max="21"/>
    <col width="12" customWidth="1" style="18" min="22" max="22"/>
    <col width="10" customWidth="1" style="18" min="23" max="23"/>
    <col width="16" customWidth="1" style="18" min="24" max="24"/>
    <col width="14" customWidth="1" style="18" min="25" max="25"/>
  </cols>
  <sheetData>
    <row r="1" ht="57" customHeight="1" s="19">
      <c r="A1" s="26" t="inlineStr">
        <is>
          <t>ID</t>
        </is>
      </c>
      <c r="B1" s="26" t="inlineStr">
        <is>
          <t>Scenario</t>
        </is>
      </c>
      <c r="C1" s="26" t="inlineStr">
        <is>
          <t>Fault Domain</t>
        </is>
      </c>
      <c r="D1" s="26" t="inlineStr">
        <is>
          <t>Injection Plane</t>
        </is>
      </c>
      <c r="E1" s="26" t="inlineStr">
        <is>
          <t>Archetype(s)</t>
        </is>
      </c>
      <c r="F1" s="26" t="inlineStr">
        <is>
          <t>Target Service(s)</t>
        </is>
      </c>
      <c r="G1" s="26" t="inlineStr">
        <is>
          <t>Fault / Injection</t>
        </is>
      </c>
      <c r="H1" s="26" t="inlineStr">
        <is>
          <t>Hypothesis (steady state holds if…)</t>
        </is>
      </c>
      <c r="I1" s="26" t="inlineStr">
        <is>
          <t>Tooling / Method</t>
        </is>
      </c>
      <c r="J1" s="26" t="inlineStr">
        <is>
          <t>Blast Radius</t>
        </is>
      </c>
      <c r="K1" s="26" t="inlineStr">
        <is>
          <t>Abort Condition</t>
        </is>
      </c>
      <c r="L1" s="26" t="inlineStr">
        <is>
          <t>Success — System</t>
        </is>
      </c>
      <c r="M1" s="26" t="inlineStr">
        <is>
          <t>Success — Detection</t>
        </is>
      </c>
      <c r="N1" s="26" t="inlineStr">
        <is>
          <t>PERF Validity</t>
        </is>
      </c>
      <c r="O1" s="26" t="inlineStr">
        <is>
          <t>PERF Note</t>
        </is>
      </c>
      <c r="P1" s="26" t="inlineStr">
        <is>
          <t>Likelihood (1-5)</t>
        </is>
      </c>
      <c r="Q1" s="26" t="inlineStr">
        <is>
          <t>Severity (1-5)</t>
        </is>
      </c>
      <c r="R1" s="26" t="inlineStr">
        <is>
          <t>Priority</t>
        </is>
      </c>
      <c r="S1" s="26" t="inlineStr">
        <is>
          <t>Wave</t>
        </is>
      </c>
      <c r="T1" s="26" t="inlineStr">
        <is>
          <t>Prereq IDs</t>
        </is>
      </c>
      <c r="U1" s="26" t="inlineStr">
        <is>
          <t>FMEA Ref (FILL)</t>
        </is>
      </c>
      <c r="V1" s="26" t="inlineStr">
        <is>
          <t>Journeys (FILL)</t>
        </is>
      </c>
      <c r="W1" s="26" t="inlineStr">
        <is>
          <t>Status</t>
        </is>
      </c>
      <c r="X1" s="26" t="inlineStr">
        <is>
          <t>Likelihood Tier</t>
        </is>
      </c>
      <c r="Y1" s="26" t="inlineStr">
        <is>
          <t>Risk Rating</t>
        </is>
      </c>
    </row>
    <row r="2" ht="32.25" customHeight="1" s="19">
      <c r="A2" s="30" t="inlineStr">
        <is>
          <t>CE-COM-01</t>
        </is>
      </c>
      <c r="B2" s="27" t="inlineStr">
        <is>
          <t>Single Fargate task termination — sync API</t>
        </is>
      </c>
      <c r="C2" s="27" t="inlineStr">
        <is>
          <t>Compute</t>
        </is>
      </c>
      <c r="D2" s="27" t="inlineStr">
        <is>
          <t>Infrastructure</t>
        </is>
      </c>
      <c r="E2" s="27" t="inlineStr">
        <is>
          <t>Sync API</t>
        </is>
      </c>
      <c r="F2" s="27" t="inlineStr">
        <is>
          <t>SAM (repeat per sync API)</t>
        </is>
      </c>
      <c r="G2" s="27" t="inlineStr">
        <is>
          <t>Terminate 1 running task of the service under steady synthetic load.</t>
        </is>
      </c>
      <c r="H2" s="27" t="inlineStr">
        <is>
          <t>ECS replaces the task; ALB deregisters/drains; journey SLI stays within SLO; zero 5xx beyond in-flight requests.</t>
        </is>
      </c>
      <c r="I2" s="27" t="inlineStr">
        <is>
          <t>FIS aws:ecs:stop-task</t>
        </is>
      </c>
      <c r="J2" s="27" t="inlineStr">
        <is>
          <t>Single task</t>
        </is>
      </c>
      <c r="K2" s="27" t="inlineStr">
        <is>
          <t>SLI breach &gt; 2 min</t>
        </is>
      </c>
      <c r="L2" s="27" t="inlineStr">
        <is>
          <t>Task replaced ≤ target time; no request loss beyond in-flight; connection re-establishment clean.</t>
        </is>
      </c>
      <c r="M2" s="27" t="inlineStr">
        <is>
          <t>Dynatrace detects task churn; no false-positive paging for single-task events (noise calibration).</t>
        </is>
      </c>
      <c r="N2" s="27" t="inlineStr">
        <is>
          <t>High</t>
        </is>
      </c>
      <c r="O2" s="27" t="inlineStr">
        <is>
          <t>Recovery mechanics transfer; scaled-down task counts change % impact only.</t>
        </is>
      </c>
      <c r="P2" s="27" t="n">
        <v>4</v>
      </c>
      <c r="Q2" s="27" t="n">
        <v>2</v>
      </c>
      <c r="R2" s="27">
        <f>P2*Q2</f>
        <v/>
      </c>
      <c r="S2" s="27" t="n">
        <v>1</v>
      </c>
      <c r="T2" s="27" t="n"/>
      <c r="U2" s="28" t="inlineStr">
        <is>
          <t>EXAMPLE — FMEA-ECS-004, FMEA-ECS-011</t>
        </is>
      </c>
      <c r="V2" s="28" t="inlineStr">
        <is>
          <t>EXAMPLE — J03, J07</t>
        </is>
      </c>
      <c r="W2" s="28" t="inlineStr">
        <is>
          <t>Proposed</t>
        </is>
      </c>
      <c r="X2" s="27">
        <f>IF(P2=5,"Almost Certain",IF(P2=4,"Likely",IF(P2=3,"Possible",IF(P2=2,"Unlikely","Rare"))))</f>
        <v/>
      </c>
      <c r="Y2" s="27">
        <f>IF(R2&gt;=16,"Critical",IF(R2&gt;=9,"High",IF(R2&gt;=4,"Medium","Opportunistic")))</f>
        <v/>
      </c>
    </row>
    <row r="3" ht="32.25" customHeight="1" s="19">
      <c r="A3" s="30" t="inlineStr">
        <is>
          <t>CE-COM-02</t>
        </is>
      </c>
      <c r="B3" s="27" t="inlineStr">
        <is>
          <t>Bulk task termination (50%) under load</t>
        </is>
      </c>
      <c r="C3" s="27" t="inlineStr">
        <is>
          <t>Compute</t>
        </is>
      </c>
      <c r="D3" s="27" t="inlineStr">
        <is>
          <t>Infrastructure</t>
        </is>
      </c>
      <c r="E3" s="27" t="inlineStr">
        <is>
          <t>Sync API</t>
        </is>
      </c>
      <c r="F3" s="27" t="inlineStr">
        <is>
          <t>ARM, SAM</t>
        </is>
      </c>
      <c r="G3" s="27" t="inlineStr">
        <is>
          <t>Terminate 50% of tasks simultaneously under load.</t>
        </is>
      </c>
      <c r="H3" s="27" t="inlineStr">
        <is>
          <t>Remaining tasks absorb load without pool/thread exhaustion; scale-out restores capacity; SLI degrades within tolerated bounds.</t>
        </is>
      </c>
      <c r="I3" s="27" t="inlineStr">
        <is>
          <t>FIS aws:ecs:stop-task (percentage)</t>
        </is>
      </c>
      <c r="J3" s="27" t="inlineStr">
        <is>
          <t>One service</t>
        </is>
      </c>
      <c r="K3" s="27" t="inlineStr">
        <is>
          <t>Error rate &gt;5% for &gt;3 min</t>
        </is>
      </c>
      <c r="L3" s="27" t="inlineStr">
        <is>
          <t>No cascading failure to callers; scale-out completes; queuing recovers.</t>
        </is>
      </c>
      <c r="M3" s="27" t="inlineStr">
        <is>
          <t>Capacity alarm fires; Dynatrace shows saturation before errors.</t>
        </is>
      </c>
      <c r="N3" s="27" t="inlineStr">
        <is>
          <t>Medium</t>
        </is>
      </c>
      <c r="O3" s="27" t="inlineStr">
        <is>
          <t>PERF task counts/scaling policies differ from PROD — % result indicative only.</t>
        </is>
      </c>
      <c r="P3" s="27" t="n">
        <v>3</v>
      </c>
      <c r="Q3" s="27" t="n">
        <v>3</v>
      </c>
      <c r="R3" s="27">
        <f>P3*Q3</f>
        <v/>
      </c>
      <c r="S3" s="27" t="n">
        <v>1</v>
      </c>
      <c r="T3" s="27" t="inlineStr">
        <is>
          <t>CE-COM-01</t>
        </is>
      </c>
      <c r="U3" s="28" t="n"/>
      <c r="V3" s="28" t="n"/>
      <c r="W3" s="28" t="inlineStr">
        <is>
          <t>Proposed</t>
        </is>
      </c>
      <c r="X3" s="27">
        <f>IF(P3=5,"Almost Certain",IF(P3=4,"Likely",IF(P3=3,"Possible",IF(P3=2,"Unlikely","Rare"))))</f>
        <v/>
      </c>
      <c r="Y3" s="27">
        <f>IF(R3&gt;=16,"Critical",IF(R3&gt;=9,"High",IF(R3&gt;=4,"Medium","Opportunistic")))</f>
        <v/>
      </c>
    </row>
    <row r="4" ht="32.25" customHeight="1" s="19">
      <c r="A4" s="30" t="inlineStr">
        <is>
          <t>CE-COM-03</t>
        </is>
      </c>
      <c r="B4" s="27" t="inlineStr">
        <is>
          <t>Task kill during rolling deployment</t>
        </is>
      </c>
      <c r="C4" s="27" t="inlineStr">
        <is>
          <t>Compute</t>
        </is>
      </c>
      <c r="D4" s="27" t="inlineStr">
        <is>
          <t>Infrastructure</t>
        </is>
      </c>
      <c r="E4" s="27" t="inlineStr">
        <is>
          <t>Sync API</t>
        </is>
      </c>
      <c r="F4" s="27" t="inlineStr">
        <is>
          <t>One sync API</t>
        </is>
      </c>
      <c r="G4" s="27" t="inlineStr">
        <is>
          <t>Inject task termination while a deployment is replacing tasks.</t>
        </is>
      </c>
      <c r="H4" s="27" t="inlineStr">
        <is>
          <t>Deployment circuit breaker / min-healthy settings prevent capacity dropping below safe floor; rollback triggers if needed.</t>
        </is>
      </c>
      <c r="I4" s="27" t="inlineStr">
        <is>
          <t>FIS + pipeline coordination</t>
        </is>
      </c>
      <c r="J4" s="27" t="inlineStr">
        <is>
          <t>One service</t>
        </is>
      </c>
      <c r="K4" s="27" t="inlineStr">
        <is>
          <t>Healthy count &lt; min for &gt;2 min</t>
        </is>
      </c>
      <c r="L4" s="27" t="inlineStr">
        <is>
          <t>No dual-capacity loss; deploy completes or rolls back cleanly.</t>
        </is>
      </c>
      <c r="M4" s="27" t="inlineStr">
        <is>
          <t>Deploy-time alerting distinguishes deployment churn from failure.</t>
        </is>
      </c>
      <c r="N4" s="27" t="inlineStr">
        <is>
          <t>High</t>
        </is>
      </c>
      <c r="O4" s="27" t="inlineStr">
        <is>
          <t>Deployment config parity assumed — verify.</t>
        </is>
      </c>
      <c r="P4" s="27" t="n">
        <v>3</v>
      </c>
      <c r="Q4" s="27" t="n">
        <v>3</v>
      </c>
      <c r="R4" s="27">
        <f>P4*Q4</f>
        <v/>
      </c>
      <c r="S4" s="27" t="n">
        <v>2</v>
      </c>
      <c r="T4" s="27" t="inlineStr">
        <is>
          <t>CE-COM-01</t>
        </is>
      </c>
      <c r="U4" s="28" t="n"/>
      <c r="V4" s="28" t="n"/>
      <c r="W4" s="28" t="inlineStr">
        <is>
          <t>Proposed</t>
        </is>
      </c>
      <c r="X4" s="27">
        <f>IF(P4=5,"Almost Certain",IF(P4=4,"Likely",IF(P4=3,"Possible",IF(P4=2,"Unlikely","Rare"))))</f>
        <v/>
      </c>
      <c r="Y4" s="27">
        <f>IF(R4&gt;=16,"Critical",IF(R4&gt;=9,"High",IF(R4&gt;=4,"Medium","Opportunistic")))</f>
        <v/>
      </c>
    </row>
    <row r="5" ht="32.25" customHeight="1" s="19">
      <c r="A5" s="30" t="inlineStr">
        <is>
          <t>CE-COM-04</t>
        </is>
      </c>
      <c r="B5" s="27" t="inlineStr">
        <is>
          <t>Event-processor task kill mid-consumption</t>
        </is>
      </c>
      <c r="C5" s="27" t="inlineStr">
        <is>
          <t>Compute</t>
        </is>
      </c>
      <c r="D5" s="27" t="inlineStr">
        <is>
          <t>Infrastructure</t>
        </is>
      </c>
      <c r="E5" s="27" t="inlineStr">
        <is>
          <t>Event processor</t>
        </is>
      </c>
      <c r="F5" s="27" t="inlineStr">
        <is>
          <t>DBE, DTE</t>
        </is>
      </c>
      <c r="G5" s="27" t="inlineStr">
        <is>
          <t>Kill a consumer task while it processes a batch of CBS events.</t>
        </is>
      </c>
      <c r="H5" s="27" t="inlineStr">
        <is>
          <t>Offsets uncommitted messages are redelivered; enrichment is idempotent — no lost and no duplicate enriched events downstream (AU/ETU).</t>
        </is>
      </c>
      <c r="I5" s="27" t="inlineStr">
        <is>
          <t>FIS aws:ecs:stop-task</t>
        </is>
      </c>
      <c r="J5" s="27" t="inlineStr">
        <is>
          <t>One consumer group member</t>
        </is>
      </c>
      <c r="K5" s="27" t="inlineStr">
        <is>
          <t>Consumer lag &gt; threshold, no drain</t>
        </is>
      </c>
      <c r="L5" s="27" t="inlineStr">
        <is>
          <t>Rebalance completes; redelivered messages produce identical enriched output exactly once (effective).</t>
        </is>
      </c>
      <c r="M5" s="27" t="inlineStr">
        <is>
          <t>Lag + rebalance visible in Dynatrace; DLQ/poison alarms silent.</t>
        </is>
      </c>
      <c r="N5" s="27" t="inlineStr">
        <is>
          <t>High</t>
        </is>
      </c>
      <c r="O5" s="27" t="inlineStr">
        <is>
          <t>Idempotency logic is environment-independent.</t>
        </is>
      </c>
      <c r="P5" s="27" t="n">
        <v>4</v>
      </c>
      <c r="Q5" s="27" t="n">
        <v>4</v>
      </c>
      <c r="R5" s="27">
        <f>P5*Q5</f>
        <v/>
      </c>
      <c r="S5" s="27" t="n">
        <v>1</v>
      </c>
      <c r="T5" s="27" t="n"/>
      <c r="U5" s="28" t="n"/>
      <c r="V5" s="28" t="n"/>
      <c r="W5" s="28" t="inlineStr">
        <is>
          <t>Proposed</t>
        </is>
      </c>
      <c r="X5" s="27">
        <f>IF(P5=5,"Almost Certain",IF(P5=4,"Likely",IF(P5=3,"Possible",IF(P5=2,"Unlikely","Rare"))))</f>
        <v/>
      </c>
      <c r="Y5" s="27">
        <f>IF(R5&gt;=16,"Critical",IF(R5&gt;=9,"High",IF(R5&gt;=4,"Medium","Opportunistic")))</f>
        <v/>
      </c>
    </row>
    <row r="6" ht="32.25" customHeight="1" s="19">
      <c r="A6" s="30" t="inlineStr">
        <is>
          <t>CE-COM-05</t>
        </is>
      </c>
      <c r="B6" s="27" t="inlineStr">
        <is>
          <t>DSM task recycle — in-memory hashmap loss</t>
        </is>
      </c>
      <c r="C6" s="27" t="inlineStr">
        <is>
          <t>Compute</t>
        </is>
      </c>
      <c r="D6" s="27" t="inlineStr">
        <is>
          <t>Infrastructure</t>
        </is>
      </c>
      <c r="E6" s="27" t="inlineStr">
        <is>
          <t>Sync API (stateful)</t>
        </is>
      </c>
      <c r="F6" s="27" t="inlineStr">
        <is>
          <t>DSM (+DSC warmer)</t>
        </is>
      </c>
      <c r="G6" s="27" t="inlineStr">
        <is>
          <t>Recycle DSM tasks; measure window where in-memory subledger map is cold before DSC/ElastiCache warm state is usable.</t>
        </is>
      </c>
      <c r="H6" s="27" t="inlineStr">
        <is>
          <t>DSM serves correct responses during warm-up (falls back to Aurora/ElastiCache) with bounded latency penalty; no wrong answers from empty map.</t>
        </is>
      </c>
      <c r="I6" s="27" t="inlineStr">
        <is>
          <t>FIS aws:ecs:stop-task</t>
        </is>
      </c>
      <c r="J6" s="27" t="inlineStr">
        <is>
          <t>DSM only</t>
        </is>
      </c>
      <c r="K6" s="27" t="inlineStr">
        <is>
          <t>Incorrect subledger responses</t>
        </is>
      </c>
      <c r="L6" s="27" t="inlineStr">
        <is>
          <t>Zero correctness violations; warm-up window quantified; fallback path exercised.</t>
        </is>
      </c>
      <c r="M6" s="27" t="inlineStr">
        <is>
          <t>Warm-up window observable as metric; DSC warmer health alarmed.</t>
        </is>
      </c>
      <c r="N6" s="27" t="inlineStr">
        <is>
          <t>High</t>
        </is>
      </c>
      <c r="O6" s="27" t="inlineStr">
        <is>
          <t>Pattern risk is design-level, not capacity-level.</t>
        </is>
      </c>
      <c r="P6" s="27" t="n">
        <v>4</v>
      </c>
      <c r="Q6" s="27" t="n">
        <v>4</v>
      </c>
      <c r="R6" s="27">
        <f>P6*Q6</f>
        <v/>
      </c>
      <c r="S6" s="27" t="n">
        <v>1</v>
      </c>
      <c r="T6" s="27" t="n"/>
      <c r="U6" s="28" t="n"/>
      <c r="V6" s="28" t="n"/>
      <c r="W6" s="28" t="inlineStr">
        <is>
          <t>Proposed</t>
        </is>
      </c>
      <c r="X6" s="27">
        <f>IF(P6=5,"Almost Certain",IF(P6=4,"Likely",IF(P6=3,"Possible",IF(P6=2,"Unlikely","Rare"))))</f>
        <v/>
      </c>
      <c r="Y6" s="27">
        <f>IF(R6&gt;=16,"Critical",IF(R6&gt;=9,"High",IF(R6&gt;=4,"Medium","Opportunistic")))</f>
        <v/>
      </c>
    </row>
    <row r="7" ht="32.25" customHeight="1" s="19">
      <c r="A7" s="30" t="inlineStr">
        <is>
          <t>CE-COM-06</t>
        </is>
      </c>
      <c r="B7" s="27" t="inlineStr">
        <is>
          <t>ECR image pull failure during scale-out</t>
        </is>
      </c>
      <c r="C7" s="27" t="inlineStr">
        <is>
          <t>Compute</t>
        </is>
      </c>
      <c r="D7" s="27" t="inlineStr">
        <is>
          <t>Infrastructure</t>
        </is>
      </c>
      <c r="E7" s="27" t="inlineStr">
        <is>
          <t>Any</t>
        </is>
      </c>
      <c r="F7" s="27" t="inlineStr">
        <is>
          <t>One sync API</t>
        </is>
      </c>
      <c r="G7" s="27" t="inlineStr">
        <is>
          <t>Block image pulls (registry deny / endpoint block in PERF) then force scale-out.</t>
        </is>
      </c>
      <c r="H7" s="27" t="inlineStr">
        <is>
          <t>Existing tasks keep serving; scale-out failure is alarmed; no flapping replacement loop kills healthy capacity.</t>
        </is>
      </c>
      <c r="I7" s="27" t="inlineStr">
        <is>
          <t>Custom (endpoint/registry policy)</t>
        </is>
      </c>
      <c r="J7" s="27" t="inlineStr">
        <is>
          <t>One service</t>
        </is>
      </c>
      <c r="K7" s="27" t="inlineStr">
        <is>
          <t>Healthy capacity shrinking</t>
        </is>
      </c>
      <c r="L7" s="27" t="inlineStr">
        <is>
          <t>Steady state maintained on existing tasks; clear failure signal.</t>
        </is>
      </c>
      <c r="M7" s="27" t="inlineStr">
        <is>
          <t>Scale-out failure alarm exists and fires (suspected gap).</t>
        </is>
      </c>
      <c r="N7" s="27" t="inlineStr">
        <is>
          <t>High</t>
        </is>
      </c>
      <c r="O7" s="27" t="inlineStr">
        <is>
          <t>—</t>
        </is>
      </c>
      <c r="P7" s="27" t="n">
        <v>2</v>
      </c>
      <c r="Q7" s="27" t="n">
        <v>3</v>
      </c>
      <c r="R7" s="27">
        <f>P7*Q7</f>
        <v/>
      </c>
      <c r="S7" s="27" t="n">
        <v>2</v>
      </c>
      <c r="T7" s="27" t="n"/>
      <c r="U7" s="28" t="n"/>
      <c r="V7" s="28" t="n"/>
      <c r="W7" s="28" t="inlineStr">
        <is>
          <t>Proposed</t>
        </is>
      </c>
      <c r="X7" s="27">
        <f>IF(P7=5,"Almost Certain",IF(P7=4,"Likely",IF(P7=3,"Possible",IF(P7=2,"Unlikely","Rare"))))</f>
        <v/>
      </c>
      <c r="Y7" s="27">
        <f>IF(R7&gt;=16,"Critical",IF(R7&gt;=9,"High",IF(R7&gt;=4,"Medium","Opportunistic")))</f>
        <v/>
      </c>
    </row>
    <row r="8" ht="32.25" customHeight="1" s="19">
      <c r="A8" s="30" t="inlineStr">
        <is>
          <t>CE-COM-07</t>
        </is>
      </c>
      <c r="B8" s="27" t="inlineStr">
        <is>
          <t>Memory pressure → container OOM behavior</t>
        </is>
      </c>
      <c r="C8" s="27" t="inlineStr">
        <is>
          <t>Resource</t>
        </is>
      </c>
      <c r="D8" s="27" t="inlineStr">
        <is>
          <t>Application</t>
        </is>
      </c>
      <c r="E8" s="27" t="inlineStr">
        <is>
          <t>Sync API</t>
        </is>
      </c>
      <c r="F8" s="27" t="inlineStr">
        <is>
          <t>One JVM service</t>
        </is>
      </c>
      <c r="G8" s="27" t="inlineStr">
        <is>
          <t>Drive heap growth via app-level memory assault until container limit.</t>
        </is>
      </c>
      <c r="H8" s="27" t="inlineStr">
        <is>
          <t>OOM kill is clean (task replaced) rather than gray degradation; no long GC-driven brownout serving errors.</t>
        </is>
      </c>
      <c r="I8" s="27" t="inlineStr">
        <is>
          <t>App-level (Chaos Monkey for Spring Boot / stress endpoint)</t>
        </is>
      </c>
      <c r="J8" s="27" t="inlineStr">
        <is>
          <t>One task</t>
        </is>
      </c>
      <c r="K8" s="27" t="inlineStr">
        <is>
          <t>SLI breach</t>
        </is>
      </c>
      <c r="L8" s="27" t="inlineStr">
        <is>
          <t>Fail-fast behavior; replacement clean; heap/GC limits tuned.</t>
        </is>
      </c>
      <c r="M8" s="27" t="inlineStr">
        <is>
          <t>GC/heap alerting catches degradation BEFORE OOM.</t>
        </is>
      </c>
      <c r="N8" s="27" t="inlineStr">
        <is>
          <t>High</t>
        </is>
      </c>
      <c r="O8" s="27" t="inlineStr">
        <is>
          <t>JVM behavior transfers.</t>
        </is>
      </c>
      <c r="P8" s="27" t="n">
        <v>3</v>
      </c>
      <c r="Q8" s="27" t="n">
        <v>3</v>
      </c>
      <c r="R8" s="27">
        <f>P8*Q8</f>
        <v/>
      </c>
      <c r="S8" s="27" t="n">
        <v>2</v>
      </c>
      <c r="T8" s="27" t="inlineStr">
        <is>
          <t>CE-COM-01</t>
        </is>
      </c>
      <c r="U8" s="28" t="n"/>
      <c r="V8" s="28" t="n"/>
      <c r="W8" s="28" t="inlineStr">
        <is>
          <t>Proposed</t>
        </is>
      </c>
      <c r="X8" s="27">
        <f>IF(P8=5,"Almost Certain",IF(P8=4,"Likely",IF(P8=3,"Possible",IF(P8=2,"Unlikely","Rare"))))</f>
        <v/>
      </c>
      <c r="Y8" s="27">
        <f>IF(R8&gt;=16,"Critical",IF(R8&gt;=9,"High",IF(R8&gt;=4,"Medium","Opportunistic")))</f>
        <v/>
      </c>
    </row>
    <row r="9" ht="32.25" customHeight="1" s="19">
      <c r="A9" s="30" t="inlineStr">
        <is>
          <t>CE-COM-08</t>
        </is>
      </c>
      <c r="B9" s="27" t="inlineStr">
        <is>
          <t>Scheduled-job duplicate / missed execution</t>
        </is>
      </c>
      <c r="C9" s="27" t="inlineStr">
        <is>
          <t>Compute</t>
        </is>
      </c>
      <c r="D9" s="27" t="inlineStr">
        <is>
          <t>Application</t>
        </is>
      </c>
      <c r="E9" s="27" t="inlineStr">
        <is>
          <t>Scheduled job</t>
        </is>
      </c>
      <c r="F9" s="27" t="inlineStr">
        <is>
          <t>DCM weekly job, MCC ETU pull, DAL cron</t>
        </is>
      </c>
      <c r="G9" s="27" t="inlineStr">
        <is>
          <t>Run service at &gt;1 task through a scheduled window; separately kill task at trigger time.</t>
        </is>
      </c>
      <c r="H9" s="27" t="inlineStr">
        <is>
          <t>Job fires exactly once per window (locking/leader election proven); a missed window is detected and recovered per design.</t>
        </is>
      </c>
      <c r="I9" s="27" t="inlineStr">
        <is>
          <t>Scale/kill + job observation</t>
        </is>
      </c>
      <c r="J9" s="27" t="inlineStr">
        <is>
          <t>Job outputs</t>
        </is>
      </c>
      <c r="K9" s="27" t="inlineStr">
        <is>
          <t>Duplicate side-effects detected</t>
        </is>
      </c>
      <c r="L9" s="27" t="inlineStr">
        <is>
          <t>No duplicate task-job effects / double ETU pull / double alert recovery; missed-window path defined.</t>
        </is>
      </c>
      <c r="M9" s="27" t="inlineStr">
        <is>
          <t>Missed or duplicate execution alarms (suspected gap for all three).</t>
        </is>
      </c>
      <c r="N9" s="27" t="inlineStr">
        <is>
          <t>High</t>
        </is>
      </c>
      <c r="O9" s="27" t="inlineStr">
        <is>
          <t>Logic-level, environment-independent.</t>
        </is>
      </c>
      <c r="P9" s="27" t="n">
        <v>3</v>
      </c>
      <c r="Q9" s="27" t="n">
        <v>4</v>
      </c>
      <c r="R9" s="27">
        <f>P9*Q9</f>
        <v/>
      </c>
      <c r="S9" s="27" t="n">
        <v>1</v>
      </c>
      <c r="T9" s="27" t="n"/>
      <c r="U9" s="28" t="n"/>
      <c r="V9" s="28" t="n"/>
      <c r="W9" s="28" t="inlineStr">
        <is>
          <t>Proposed</t>
        </is>
      </c>
      <c r="X9" s="27">
        <f>IF(P9=5,"Almost Certain",IF(P9=4,"Likely",IF(P9=3,"Possible",IF(P9=2,"Unlikely","Rare"))))</f>
        <v/>
      </c>
      <c r="Y9" s="27">
        <f>IF(R9&gt;=16,"Critical",IF(R9&gt;=9,"High",IF(R9&gt;=4,"Medium","Opportunistic")))</f>
        <v/>
      </c>
    </row>
    <row r="10" ht="32.25" customHeight="1" s="19">
      <c r="A10" s="30" t="inlineStr">
        <is>
          <t>CE-DB-01</t>
        </is>
      </c>
      <c r="B10" s="27" t="inlineStr">
        <is>
          <t>Aurora writer failover — RDS-Proxy-fronted</t>
        </is>
      </c>
      <c r="C10" s="27" t="inlineStr">
        <is>
          <t>Data-Aurora</t>
        </is>
      </c>
      <c r="D10" s="27" t="inlineStr">
        <is>
          <t>Infrastructure</t>
        </is>
      </c>
      <c r="E10" s="27" t="inlineStr">
        <is>
          <t>Mixed (ENRC)</t>
        </is>
      </c>
      <c r="F10" s="27" t="inlineStr">
        <is>
          <t>DCM, DBE, DTE</t>
        </is>
      </c>
      <c r="G10" s="27" t="inlineStr">
        <is>
          <t>Trigger in-region writer failover on the proxy-fronted cluster under load.</t>
        </is>
      </c>
      <c r="H10" s="27" t="inlineStr">
        <is>
          <t>RDS Proxy preserves/pins client connections; app-visible impact limited to brief write latency; no connection storm.</t>
        </is>
      </c>
      <c r="I10" s="27" t="inlineStr">
        <is>
          <t>FIS aws:rds / failover-db-cluster</t>
        </is>
      </c>
      <c r="J10" s="27" t="inlineStr">
        <is>
          <t>ENRC cluster</t>
        </is>
      </c>
      <c r="K10" s="27" t="inlineStr">
        <is>
          <t>Error rate &gt;5% / 3 min</t>
        </is>
      </c>
      <c r="L10" s="27" t="inlineStr">
        <is>
          <t>Failover ≤ target; HikariCP pools stable; writes resume without app restarts.</t>
        </is>
      </c>
      <c r="M10" s="27" t="inlineStr">
        <is>
          <t>DB failover event alarmed; Dynatrace DB-layer signal correct.</t>
        </is>
      </c>
      <c r="N10" s="27" t="inlineStr">
        <is>
          <t>Medium</t>
        </is>
      </c>
      <c r="O10" s="27" t="inlineStr">
        <is>
          <t>Instance class + data volume affect failover duration.</t>
        </is>
      </c>
      <c r="P10" s="27" t="n">
        <v>3</v>
      </c>
      <c r="Q10" s="27" t="n">
        <v>4</v>
      </c>
      <c r="R10" s="27">
        <f>P10*Q10</f>
        <v/>
      </c>
      <c r="S10" s="27" t="n">
        <v>1</v>
      </c>
      <c r="T10" s="27" t="n"/>
      <c r="U10" s="28" t="n"/>
      <c r="V10" s="28" t="n"/>
      <c r="W10" s="28" t="inlineStr">
        <is>
          <t>Proposed</t>
        </is>
      </c>
      <c r="X10" s="27">
        <f>IF(P10=5,"Almost Certain",IF(P10=4,"Likely",IF(P10=3,"Possible",IF(P10=2,"Unlikely","Rare"))))</f>
        <v/>
      </c>
      <c r="Y10" s="27">
        <f>IF(R10&gt;=16,"Critical",IF(R10&gt;=9,"High",IF(R10&gt;=4,"Medium","Opportunistic")))</f>
        <v/>
      </c>
    </row>
    <row r="11" ht="32.25" customHeight="1" s="19">
      <c r="A11" s="30" t="inlineStr">
        <is>
          <t>CE-DB-02</t>
        </is>
      </c>
      <c r="B11" s="27" t="inlineStr">
        <is>
          <t>Aurora writer failover — direct-connection</t>
        </is>
      </c>
      <c r="C11" s="27" t="inlineStr">
        <is>
          <t>Data-Aurora</t>
        </is>
      </c>
      <c r="D11" s="27" t="inlineStr">
        <is>
          <t>Infrastructure</t>
        </is>
      </c>
      <c r="E11" s="27" t="inlineStr">
        <is>
          <t>Sync API</t>
        </is>
      </c>
      <c r="F11" s="27" t="inlineStr">
        <is>
          <t>SAM (Core DB)</t>
        </is>
      </c>
      <c r="G11" s="27" t="inlineStr">
        <is>
          <t>Same failover on a direct (non-proxy) cluster under load.</t>
        </is>
      </c>
      <c r="H11" s="27" t="inlineStr">
        <is>
          <t>aws-jdbc-wrapper fast-failover redirects connections within pool timeout budget; documented behavior matches FMEA ledger.</t>
        </is>
      </c>
      <c r="I11" s="27" t="inlineStr">
        <is>
          <t>FIS / failover-db-cluster</t>
        </is>
      </c>
      <c r="J11" s="27" t="inlineStr">
        <is>
          <t>Core DB cluster</t>
        </is>
      </c>
      <c r="K11" s="27" t="inlineStr">
        <is>
          <t>Error rate &gt;5% / 3 min</t>
        </is>
      </c>
      <c r="L11" s="27" t="inlineStr">
        <is>
          <t>Recovery time quantified; asymmetry vs CE-DB-01 documented as evidence for proxy adoption decision.</t>
        </is>
      </c>
      <c r="M11" s="27" t="inlineStr">
        <is>
          <t>Same detection as DB-01.</t>
        </is>
      </c>
      <c r="N11" s="27" t="inlineStr">
        <is>
          <t>Medium</t>
        </is>
      </c>
      <c r="O11" s="27" t="inlineStr">
        <is>
          <t>Same caveats as DB-01.</t>
        </is>
      </c>
      <c r="P11" s="27" t="n">
        <v>3</v>
      </c>
      <c r="Q11" s="27" t="n">
        <v>4</v>
      </c>
      <c r="R11" s="27">
        <f>P11*Q11</f>
        <v/>
      </c>
      <c r="S11" s="27" t="n">
        <v>1</v>
      </c>
      <c r="T11" s="27" t="inlineStr">
        <is>
          <t>CE-DB-01</t>
        </is>
      </c>
      <c r="U11" s="28" t="n"/>
      <c r="V11" s="28" t="n"/>
      <c r="W11" s="28" t="inlineStr">
        <is>
          <t>Proposed</t>
        </is>
      </c>
      <c r="X11" s="27">
        <f>IF(P11=5,"Almost Certain",IF(P11=4,"Likely",IF(P11=3,"Possible",IF(P11=2,"Unlikely","Rare"))))</f>
        <v/>
      </c>
      <c r="Y11" s="27">
        <f>IF(R11&gt;=16,"Critical",IF(R11&gt;=9,"High",IF(R11&gt;=4,"Medium","Opportunistic")))</f>
        <v/>
      </c>
    </row>
    <row r="12" ht="32.25" customHeight="1" s="19">
      <c r="A12" s="30" t="inlineStr">
        <is>
          <t>CE-DB-03</t>
        </is>
      </c>
      <c r="B12" s="27" t="inlineStr">
        <is>
          <t>Connection storm on writer promotion</t>
        </is>
      </c>
      <c r="C12" s="27" t="inlineStr">
        <is>
          <t>Data-Aurora</t>
        </is>
      </c>
      <c r="D12" s="27" t="inlineStr">
        <is>
          <t>Compound</t>
        </is>
      </c>
      <c r="E12" s="27" t="inlineStr">
        <is>
          <t>Sync API</t>
        </is>
      </c>
      <c r="F12" s="27" t="inlineStr">
        <is>
          <t>SAM + heaviest callers</t>
        </is>
      </c>
      <c r="G12" s="27" t="inlineStr">
        <is>
          <t>Writer failover while pools are near max and load is high — deliberate worst case.</t>
        </is>
      </c>
      <c r="H12" s="27" t="inlineStr">
        <is>
          <t>HikariCP settings (max pool, connection timeout, validation) prevent thundering-herd reconnect storm from delaying promotion recovery.</t>
        </is>
      </c>
      <c r="I12" s="27" t="inlineStr">
        <is>
          <t>FIS + load profile</t>
        </is>
      </c>
      <c r="J12" s="27" t="inlineStr">
        <is>
          <t>Core DB + callers</t>
        </is>
      </c>
      <c r="K12" s="27" t="inlineStr">
        <is>
          <t>DB CPU pegged &gt;5 min</t>
        </is>
      </c>
      <c r="L12" s="27" t="inlineStr">
        <is>
          <t>Reconnect ramp controlled; total brownout window within FMEA-assessed bound.</t>
        </is>
      </c>
      <c r="M12" s="27" t="inlineStr">
        <is>
          <t>Pool saturation metrics visible pre-failure.</t>
        </is>
      </c>
      <c r="N12" s="27" t="inlineStr">
        <is>
          <t>Low</t>
        </is>
      </c>
      <c r="O12" s="27" t="inlineStr">
        <is>
          <t>Pool sizes &amp; instance class differ in PERF — directional only; flag for PROD-parity retest.</t>
        </is>
      </c>
      <c r="P12" s="27" t="n">
        <v>2</v>
      </c>
      <c r="Q12" s="27" t="n">
        <v>5</v>
      </c>
      <c r="R12" s="27">
        <f>P12*Q12</f>
        <v/>
      </c>
      <c r="S12" s="27" t="n">
        <v>3</v>
      </c>
      <c r="T12" s="27" t="inlineStr">
        <is>
          <t>CE-DB-02,CE-APP-05</t>
        </is>
      </c>
      <c r="U12" s="28" t="n"/>
      <c r="V12" s="28" t="n"/>
      <c r="W12" s="28" t="inlineStr">
        <is>
          <t>Proposed</t>
        </is>
      </c>
      <c r="X12" s="27">
        <f>IF(P12=5,"Almost Certain",IF(P12=4,"Likely",IF(P12=3,"Possible",IF(P12=2,"Unlikely","Rare"))))</f>
        <v/>
      </c>
      <c r="Y12" s="27">
        <f>IF(R12&gt;=16,"Critical",IF(R12&gt;=9,"High",IF(R12&gt;=4,"Medium","Opportunistic")))</f>
        <v/>
      </c>
    </row>
    <row r="13" ht="32.25" customHeight="1" s="19">
      <c r="A13" s="30" t="inlineStr">
        <is>
          <t>CE-DB-04</t>
        </is>
      </c>
      <c r="B13" s="27" t="inlineStr">
        <is>
          <t>Reader node failure (reader/writer split)</t>
        </is>
      </c>
      <c r="C13" s="27" t="inlineStr">
        <is>
          <t>Data-Aurora</t>
        </is>
      </c>
      <c r="D13" s="27" t="inlineStr">
        <is>
          <t>Infrastructure</t>
        </is>
      </c>
      <c r="E13" s="27" t="inlineStr">
        <is>
          <t>Sync API</t>
        </is>
      </c>
      <c r="F13" s="27" t="inlineStr">
        <is>
          <t>Proxy-fronted ENRC services</t>
        </is>
      </c>
      <c r="G13" s="27" t="inlineStr">
        <is>
          <t>Kill/reboot a reader instance under read-heavy load.</t>
        </is>
      </c>
      <c r="H13" s="27" t="inlineStr">
        <is>
          <t>Reads redistribute to surviving readers/writer without error spike; reader endpoint DNS behavior within TTL budget.</t>
        </is>
      </c>
      <c r="I13" s="27" t="inlineStr">
        <is>
          <t>FIS aws:rds:reboot-db-instances</t>
        </is>
      </c>
      <c r="J13" s="27" t="inlineStr">
        <is>
          <t>One reader</t>
        </is>
      </c>
      <c r="K13" s="27" t="inlineStr">
        <is>
          <t>Read errors sustained</t>
        </is>
      </c>
      <c r="L13" s="27" t="inlineStr">
        <is>
          <t>Read continuity; latency bump bounded.</t>
        </is>
      </c>
      <c r="M13" s="27" t="inlineStr">
        <is>
          <t>Reader loss alarmed distinctly from writer events.</t>
        </is>
      </c>
      <c r="N13" s="27" t="inlineStr">
        <is>
          <t>High</t>
        </is>
      </c>
      <c r="O13" s="27" t="inlineStr">
        <is>
          <t>—</t>
        </is>
      </c>
      <c r="P13" s="27" t="n">
        <v>3</v>
      </c>
      <c r="Q13" s="27" t="n">
        <v>3</v>
      </c>
      <c r="R13" s="27">
        <f>P13*Q13</f>
        <v/>
      </c>
      <c r="S13" s="27" t="n">
        <v>2</v>
      </c>
      <c r="T13" s="27" t="inlineStr">
        <is>
          <t>CE-DB-01</t>
        </is>
      </c>
      <c r="U13" s="28" t="n"/>
      <c r="V13" s="28" t="n"/>
      <c r="W13" s="28" t="inlineStr">
        <is>
          <t>Proposed</t>
        </is>
      </c>
      <c r="X13" s="27">
        <f>IF(P13=5,"Almost Certain",IF(P13=4,"Likely",IF(P13=3,"Possible",IF(P13=2,"Unlikely","Rare"))))</f>
        <v/>
      </c>
      <c r="Y13" s="27">
        <f>IF(R13&gt;=16,"Critical",IF(R13&gt;=9,"High",IF(R13&gt;=4,"Medium","Opportunistic")))</f>
        <v/>
      </c>
    </row>
    <row r="14" ht="32.25" customHeight="1" s="19">
      <c r="A14" s="30" t="inlineStr">
        <is>
          <t>CE-DB-05</t>
        </is>
      </c>
      <c r="B14" s="27" t="inlineStr">
        <is>
          <t>Global replication lag / stale-read tolerance</t>
        </is>
      </c>
      <c r="C14" s="27" t="inlineStr">
        <is>
          <t>Data-Aurora</t>
        </is>
      </c>
      <c r="D14" s="27" t="inlineStr">
        <is>
          <t>Infrastructure</t>
        </is>
      </c>
      <c r="E14" s="27" t="inlineStr">
        <is>
          <t>All Aurora users</t>
        </is>
      </c>
      <c r="F14" s="27" t="inlineStr">
        <is>
          <t>Global clusters</t>
        </is>
      </c>
      <c r="G14" s="27" t="inlineStr">
        <is>
          <t>Induce/observe elevated cross-region replication lag (heavy write load; direct lag injection has no FIS action — method gap).</t>
        </is>
      </c>
      <c r="H14" s="27" t="inlineStr">
        <is>
          <t>Services and DR runbooks tolerate documented lag; RPO assumptions (incl. DBE 'RPO PoF') hold under stress.</t>
        </is>
      </c>
      <c r="I14" s="27" t="inlineStr">
        <is>
          <t>Custom (write-load driven)</t>
        </is>
      </c>
      <c r="J14" s="27" t="inlineStr">
        <is>
          <t>Secondary region reads</t>
        </is>
      </c>
      <c r="K14" s="27" t="inlineStr">
        <is>
          <t>Lag beyond RPO assumption</t>
        </is>
      </c>
      <c r="L14" s="27" t="inlineStr">
        <is>
          <t>Measured lag vs documented RPO; consumers of secondary data behave.</t>
        </is>
      </c>
      <c r="M14" s="27" t="inlineStr">
        <is>
          <t>Replication-lag alarm exists with correct threshold.</t>
        </is>
      </c>
      <c r="N14" s="27" t="inlineStr">
        <is>
          <t>Low</t>
        </is>
      </c>
      <c r="O14" s="27" t="inlineStr">
        <is>
          <t>Data volume in PERF understates PROD lag — treat as method validation.</t>
        </is>
      </c>
      <c r="P14" s="27" t="n">
        <v>2</v>
      </c>
      <c r="Q14" s="27" t="n">
        <v>4</v>
      </c>
      <c r="R14" s="27">
        <f>P14*Q14</f>
        <v/>
      </c>
      <c r="S14" s="27" t="n">
        <v>3</v>
      </c>
      <c r="T14" s="27" t="n"/>
      <c r="U14" s="28" t="n"/>
      <c r="V14" s="28" t="n"/>
      <c r="W14" s="28" t="inlineStr">
        <is>
          <t>Proposed</t>
        </is>
      </c>
      <c r="X14" s="27">
        <f>IF(P14=5,"Almost Certain",IF(P14=4,"Likely",IF(P14=3,"Possible",IF(P14=2,"Unlikely","Rare"))))</f>
        <v/>
      </c>
      <c r="Y14" s="27">
        <f>IF(R14&gt;=16,"Critical",IF(R14&gt;=9,"High",IF(R14&gt;=4,"Medium","Opportunistic")))</f>
        <v/>
      </c>
    </row>
    <row r="15" ht="32.25" customHeight="1" s="19">
      <c r="A15" s="30" t="inlineStr">
        <is>
          <t>CE-DB-06</t>
        </is>
      </c>
      <c r="B15" s="27" t="inlineStr">
        <is>
          <t>Managed planned global failover</t>
        </is>
      </c>
      <c r="C15" s="27" t="inlineStr">
        <is>
          <t>Data-Aurora</t>
        </is>
      </c>
      <c r="D15" s="27" t="inlineStr">
        <is>
          <t>Infrastructure</t>
        </is>
      </c>
      <c r="E15" s="27" t="inlineStr">
        <is>
          <t>All</t>
        </is>
      </c>
      <c r="F15" s="27" t="inlineStr">
        <is>
          <t>Aurora Global (per cluster)</t>
        </is>
      </c>
      <c r="G15" s="27" t="inlineStr">
        <is>
          <t>Execute managed planned failover us-east-1→us-east-2.</t>
        </is>
      </c>
      <c r="H15" s="27" t="inlineStr">
        <is>
          <t>Failover completes within documented window; applications reconnect to new writer; replication reverses cleanly.</t>
        </is>
      </c>
      <c r="I15" s="27" t="inlineStr">
        <is>
          <t>AWS managed operation</t>
        </is>
      </c>
      <c r="J15" s="27" t="inlineStr">
        <is>
          <t>One global cluster</t>
        </is>
      </c>
      <c r="K15" s="27" t="inlineStr">
        <is>
          <t>Failback risk identified</t>
        </is>
      </c>
      <c r="L15" s="27" t="inlineStr">
        <is>
          <t>End-to-end timing evidence per cluster; app reconnect behavior per proxy/direct split.</t>
        </is>
      </c>
      <c r="M15" s="27" t="inlineStr">
        <is>
          <t>Region-level DB alarms coherent during transition.</t>
        </is>
      </c>
      <c r="N15" s="27" t="inlineStr">
        <is>
          <t>Medium</t>
        </is>
      </c>
      <c r="O15" s="27" t="inlineStr">
        <is>
          <t>Cluster sizing deltas.</t>
        </is>
      </c>
      <c r="P15" s="27" t="n">
        <v>2</v>
      </c>
      <c r="Q15" s="27" t="n">
        <v>4</v>
      </c>
      <c r="R15" s="27">
        <f>P15*Q15</f>
        <v/>
      </c>
      <c r="S15" s="27" t="n">
        <v>3</v>
      </c>
      <c r="T15" s="27" t="inlineStr">
        <is>
          <t>CE-DB-01,CE-DB-02</t>
        </is>
      </c>
      <c r="U15" s="28" t="n"/>
      <c r="V15" s="28" t="n"/>
      <c r="W15" s="28" t="inlineStr">
        <is>
          <t>Proposed</t>
        </is>
      </c>
      <c r="X15" s="27">
        <f>IF(P15=5,"Almost Certain",IF(P15=4,"Likely",IF(P15=3,"Possible",IF(P15=2,"Unlikely","Rare"))))</f>
        <v/>
      </c>
      <c r="Y15" s="27">
        <f>IF(R15&gt;=16,"Critical",IF(R15&gt;=9,"High",IF(R15&gt;=4,"Medium","Opportunistic")))</f>
        <v/>
      </c>
    </row>
    <row r="16" ht="32.25" customHeight="1" s="19">
      <c r="A16" s="30" t="inlineStr">
        <is>
          <t>CE-DB-07</t>
        </is>
      </c>
      <c r="B16" s="27" t="inlineStr">
        <is>
          <t>Unplanned global failover (detach &amp; promote)</t>
        </is>
      </c>
      <c r="C16" s="27" t="inlineStr">
        <is>
          <t>Data-Aurora</t>
        </is>
      </c>
      <c r="D16" s="27" t="inlineStr">
        <is>
          <t>Infrastructure</t>
        </is>
      </c>
      <c r="E16" s="27" t="inlineStr">
        <is>
          <t>All</t>
        </is>
      </c>
      <c r="F16" s="27" t="inlineStr">
        <is>
          <t>Aurora Global (per cluster)</t>
        </is>
      </c>
      <c r="G16" s="27" t="inlineStr">
        <is>
          <t>Simulate region loss: detach secondary and promote (drill).</t>
        </is>
      </c>
      <c r="H16" s="27" t="inlineStr">
        <is>
          <t>Promotion + app cutover meets RTO; data loss within RPO; procedure executable by on-call from runbook alone.</t>
        </is>
      </c>
      <c r="I16" s="27" t="inlineStr">
        <is>
          <t>Drill (manual/scripted)</t>
        </is>
      </c>
      <c r="J16" s="27" t="inlineStr">
        <is>
          <t>One global cluster + dependents</t>
        </is>
      </c>
      <c r="K16" s="27" t="inlineStr">
        <is>
          <t>Any ambiguity in runbook</t>
        </is>
      </c>
      <c r="L16" s="27" t="inlineStr">
        <is>
          <t>RTO/RPO evidence; stale-writer protection confirmed (see DB-08).</t>
        </is>
      </c>
      <c r="M16" s="27" t="inlineStr">
        <is>
          <t>All failover alarms/dashboards correct in surviving region.</t>
        </is>
      </c>
      <c r="N16" s="27" t="inlineStr">
        <is>
          <t>Low</t>
        </is>
      </c>
      <c r="O16" s="27" t="inlineStr">
        <is>
          <t>PERF topology parity required; data volume affects timing.</t>
        </is>
      </c>
      <c r="P16" s="27" t="n">
        <v>1</v>
      </c>
      <c r="Q16" s="27" t="n">
        <v>5</v>
      </c>
      <c r="R16" s="27">
        <f>P16*Q16</f>
        <v/>
      </c>
      <c r="S16" s="27" t="n">
        <v>4</v>
      </c>
      <c r="T16" s="27" t="inlineStr">
        <is>
          <t>CE-DB-06</t>
        </is>
      </c>
      <c r="U16" s="28" t="n"/>
      <c r="V16" s="28" t="n"/>
      <c r="W16" s="28" t="inlineStr">
        <is>
          <t>Proposed</t>
        </is>
      </c>
      <c r="X16" s="27">
        <f>IF(P16=5,"Almost Certain",IF(P16=4,"Likely",IF(P16=3,"Possible",IF(P16=2,"Unlikely","Rare"))))</f>
        <v/>
      </c>
      <c r="Y16" s="27">
        <f>IF(R16&gt;=16,"Critical",IF(R16&gt;=9,"High",IF(R16&gt;=4,"Medium","Opportunistic")))</f>
        <v/>
      </c>
    </row>
    <row r="17" ht="32.25" customHeight="1" s="19">
      <c r="A17" s="30" t="inlineStr">
        <is>
          <t>CE-DB-08</t>
        </is>
      </c>
      <c r="B17" s="27" t="inlineStr">
        <is>
          <t>Stale writer endpoint after promotion</t>
        </is>
      </c>
      <c r="C17" s="27" t="inlineStr">
        <is>
          <t>Data-Aurora</t>
        </is>
      </c>
      <c r="D17" s="27" t="inlineStr">
        <is>
          <t>Application</t>
        </is>
      </c>
      <c r="E17" s="27" t="inlineStr">
        <is>
          <t>All Aurora users</t>
        </is>
      </c>
      <c r="F17" s="27" t="inlineStr">
        <is>
          <t>Sample per driver config</t>
        </is>
      </c>
      <c r="G17" s="27" t="inlineStr">
        <is>
          <t>After promotion, verify no service continues writing to old-region endpoint (driver DNS caching, wrapper topology refresh).</t>
        </is>
      </c>
      <c r="H17" s="27" t="inlineStr">
        <is>
          <t>aws-jdbc-wrapper topology awareness prevents split-brain writes; any cached-endpoint writes fail closed.</t>
        </is>
      </c>
      <c r="I17" s="27" t="inlineStr">
        <is>
          <t>Post-drill verification + custom probe</t>
        </is>
      </c>
      <c r="J17" s="27" t="inlineStr">
        <is>
          <t>Data integrity</t>
        </is>
      </c>
      <c r="K17" s="27" t="inlineStr">
        <is>
          <t>Any write accepted by old writer</t>
        </is>
      </c>
      <c r="L17" s="27" t="inlineStr">
        <is>
          <t>Zero writes to demoted writer; wrapper refresh timing quantified.</t>
        </is>
      </c>
      <c r="M17" s="27" t="inlineStr">
        <is>
          <t>Cross-region write-attempt visibility exists (likely gap).</t>
        </is>
      </c>
      <c r="N17" s="27" t="inlineStr">
        <is>
          <t>High</t>
        </is>
      </c>
      <c r="O17" s="27" t="inlineStr">
        <is>
          <t>Driver behavior transfers.</t>
        </is>
      </c>
      <c r="P17" s="27" t="n">
        <v>2</v>
      </c>
      <c r="Q17" s="27" t="n">
        <v>5</v>
      </c>
      <c r="R17" s="27">
        <f>P17*Q17</f>
        <v/>
      </c>
      <c r="S17" s="27" t="n">
        <v>3</v>
      </c>
      <c r="T17" s="27" t="inlineStr">
        <is>
          <t>CE-DB-06</t>
        </is>
      </c>
      <c r="U17" s="28" t="n"/>
      <c r="V17" s="28" t="n"/>
      <c r="W17" s="28" t="inlineStr">
        <is>
          <t>Proposed</t>
        </is>
      </c>
      <c r="X17" s="27">
        <f>IF(P17=5,"Almost Certain",IF(P17=4,"Likely",IF(P17=3,"Possible",IF(P17=2,"Unlikely","Rare"))))</f>
        <v/>
      </c>
      <c r="Y17" s="27">
        <f>IF(R17&gt;=16,"Critical",IF(R17&gt;=9,"High",IF(R17&gt;=4,"Medium","Opportunistic")))</f>
        <v/>
      </c>
    </row>
    <row r="18" ht="32.25" customHeight="1" s="19">
      <c r="A18" s="30" t="inlineStr">
        <is>
          <t>CE-DB-09</t>
        </is>
      </c>
      <c r="B18" s="27" t="inlineStr">
        <is>
          <t>IAM auth token failure (aws-jdbc-wrapper)</t>
        </is>
      </c>
      <c r="C18" s="27" t="inlineStr">
        <is>
          <t>Data-Aurora</t>
        </is>
      </c>
      <c r="D18" s="27" t="inlineStr">
        <is>
          <t>Infrastructure</t>
        </is>
      </c>
      <c r="E18" s="27" t="inlineStr">
        <is>
          <t>All (no static DB passwords)</t>
        </is>
      </c>
      <c r="F18" s="27" t="inlineStr">
        <is>
          <t>One sync API</t>
        </is>
      </c>
      <c r="G18" s="27" t="inlineStr">
        <is>
          <t>Deny IAM DB-auth token generation (perf-scoped IAM policy) for the service role.</t>
        </is>
      </c>
      <c r="H18" s="27" t="inlineStr">
        <is>
          <t>Existing connections continue (token is connect-time only); NEW connections fail with clear error; pool contraction is alarmed before exhaustion.</t>
        </is>
      </c>
      <c r="I18" s="27" t="inlineStr">
        <is>
          <t>Custom (IAM deny in PERF)</t>
        </is>
      </c>
      <c r="J18" s="27" t="inlineStr">
        <is>
          <t>One service's new connections</t>
        </is>
      </c>
      <c r="K18" s="27" t="inlineStr">
        <is>
          <t>Full pool exhaustion</t>
        </is>
      </c>
      <c r="L18" s="27" t="inlineStr">
        <is>
          <t>Degradation curve understood; recovery instant on policy restore.</t>
        </is>
      </c>
      <c r="M18" s="27" t="inlineStr">
        <is>
          <t>Auth-failure signature distinct in logs/alerts vs generic DB errors.</t>
        </is>
      </c>
      <c r="N18" s="27" t="inlineStr">
        <is>
          <t>High</t>
        </is>
      </c>
      <c r="O18" s="27" t="inlineStr">
        <is>
          <t>IAM mechanics identical across envs.</t>
        </is>
      </c>
      <c r="P18" s="27" t="n">
        <v>2</v>
      </c>
      <c r="Q18" s="27" t="n">
        <v>4</v>
      </c>
      <c r="R18" s="27">
        <f>P18*Q18</f>
        <v/>
      </c>
      <c r="S18" s="27" t="n">
        <v>2</v>
      </c>
      <c r="T18" s="27" t="n"/>
      <c r="U18" s="28" t="n"/>
      <c r="V18" s="28" t="n"/>
      <c r="W18" s="28" t="inlineStr">
        <is>
          <t>Proposed</t>
        </is>
      </c>
      <c r="X18" s="27">
        <f>IF(P18=5,"Almost Certain",IF(P18=4,"Likely",IF(P18=3,"Possible",IF(P18=2,"Unlikely","Rare"))))</f>
        <v/>
      </c>
      <c r="Y18" s="27">
        <f>IF(R18&gt;=16,"Critical",IF(R18&gt;=9,"High",IF(R18&gt;=4,"Medium","Opportunistic")))</f>
        <v/>
      </c>
    </row>
    <row r="19" ht="32.25" customHeight="1" s="19">
      <c r="A19" s="30" t="inlineStr">
        <is>
          <t>CE-DB-10</t>
        </is>
      </c>
      <c r="B19" s="27" t="inlineStr">
        <is>
          <t>RDS Proxy endpoint unavailability</t>
        </is>
      </c>
      <c r="C19" s="27" t="inlineStr">
        <is>
          <t>Data-Aurora</t>
        </is>
      </c>
      <c r="D19" s="27" t="inlineStr">
        <is>
          <t>Infrastructure</t>
        </is>
      </c>
      <c r="E19" s="27" t="inlineStr">
        <is>
          <t>Mixed (ENRC)</t>
        </is>
      </c>
      <c r="F19" s="27" t="inlineStr">
        <is>
          <t>DCM, DBE, DTE</t>
        </is>
      </c>
      <c r="G19" s="27" t="inlineStr">
        <is>
          <t>Block proxy endpoint (SG/NACL in PERF) — the proxy as its own failure point.</t>
        </is>
      </c>
      <c r="H19" s="27" t="inlineStr">
        <is>
          <t>Services fail fast per timeout chain (no hang); recovery on restore without restart; proxy-as-SPOF risk quantified for the 3 ENRC services.</t>
        </is>
      </c>
      <c r="I19" s="27" t="inlineStr">
        <is>
          <t>Custom (network deny)</t>
        </is>
      </c>
      <c r="J19" s="27" t="inlineStr">
        <is>
          <t>ENRC DB access</t>
        </is>
      </c>
      <c r="K19" s="27" t="inlineStr">
        <is>
          <t>Hang &gt; timeout budget</t>
        </is>
      </c>
      <c r="L19" s="27" t="inlineStr">
        <is>
          <t>Timeout chain honors documented order; no thread pile-up.</t>
        </is>
      </c>
      <c r="M19" s="27" t="inlineStr">
        <is>
          <t>Proxy health distinct from cluster health in monitoring.</t>
        </is>
      </c>
      <c r="N19" s="27" t="inlineStr">
        <is>
          <t>High</t>
        </is>
      </c>
      <c r="O19" s="27" t="inlineStr">
        <is>
          <t>—</t>
        </is>
      </c>
      <c r="P19" s="27" t="n">
        <v>2</v>
      </c>
      <c r="Q19" s="27" t="n">
        <v>4</v>
      </c>
      <c r="R19" s="27">
        <f>P19*Q19</f>
        <v/>
      </c>
      <c r="S19" s="27" t="n">
        <v>2</v>
      </c>
      <c r="T19" s="27" t="inlineStr">
        <is>
          <t>CE-EDGE-01</t>
        </is>
      </c>
      <c r="U19" s="28" t="n"/>
      <c r="V19" s="28" t="n"/>
      <c r="W19" s="28" t="inlineStr">
        <is>
          <t>Proposed</t>
        </is>
      </c>
      <c r="X19" s="27">
        <f>IF(P19=5,"Almost Certain",IF(P19=4,"Likely",IF(P19=3,"Possible",IF(P19=2,"Unlikely","Rare"))))</f>
        <v/>
      </c>
      <c r="Y19" s="27">
        <f>IF(R19&gt;=16,"Critical",IF(R19&gt;=9,"High",IF(R19&gt;=4,"Medium","Opportunistic")))</f>
        <v/>
      </c>
    </row>
    <row r="20" ht="32.25" customHeight="1" s="19">
      <c r="A20" s="30" t="inlineStr">
        <is>
          <t>CE-CACHE-01</t>
        </is>
      </c>
      <c r="B20" s="27" t="inlineStr">
        <is>
          <t>ElastiCache primary failover</t>
        </is>
      </c>
      <c r="C20" s="27" t="inlineStr">
        <is>
          <t>Cache</t>
        </is>
      </c>
      <c r="D20" s="27" t="inlineStr">
        <is>
          <t>Infrastructure</t>
        </is>
      </c>
      <c r="E20" s="27" t="inlineStr">
        <is>
          <t>Sync API / Event processor</t>
        </is>
      </c>
      <c r="F20" s="27" t="inlineStr">
        <is>
          <t>Shared cluster users (ARM, AFM, DBE, DTE, DCM)</t>
        </is>
      </c>
      <c r="G20" s="27" t="inlineStr">
        <is>
          <t>Fail over primary→replica on the shared Redis cluster.</t>
        </is>
      </c>
      <c r="H20" s="27" t="inlineStr">
        <is>
          <t>Clients reconnect within seconds; brief error/latency blip absorbed by callers; no data-correctness impact.</t>
        </is>
      </c>
      <c r="I20" s="27" t="inlineStr">
        <is>
          <t>FIS aws:elasticache / console failover</t>
        </is>
      </c>
      <c r="J20" s="27" t="inlineStr">
        <is>
          <t>Shared cache</t>
        </is>
      </c>
      <c r="K20" s="27" t="inlineStr">
        <is>
          <t>Errors sustained &gt;2 min</t>
        </is>
      </c>
      <c r="L20" s="27" t="inlineStr">
        <is>
          <t>Reconnect clean; SLI blip bounded.</t>
        </is>
      </c>
      <c r="M20" s="27" t="inlineStr">
        <is>
          <t>Cache failover event alarmed.</t>
        </is>
      </c>
      <c r="N20" s="27" t="inlineStr">
        <is>
          <t>High</t>
        </is>
      </c>
      <c r="O20" s="27" t="inlineStr">
        <is>
          <t>—</t>
        </is>
      </c>
      <c r="P20" s="27" t="n">
        <v>3</v>
      </c>
      <c r="Q20" s="27" t="n">
        <v>3</v>
      </c>
      <c r="R20" s="27">
        <f>P20*Q20</f>
        <v/>
      </c>
      <c r="S20" s="27" t="n">
        <v>1</v>
      </c>
      <c r="T20" s="27" t="n"/>
      <c r="U20" s="28" t="n"/>
      <c r="V20" s="28" t="n"/>
      <c r="W20" s="28" t="inlineStr">
        <is>
          <t>Proposed</t>
        </is>
      </c>
      <c r="X20" s="27">
        <f>IF(P20=5,"Almost Certain",IF(P20=4,"Likely",IF(P20=3,"Possible",IF(P20=2,"Unlikely","Rare"))))</f>
        <v/>
      </c>
      <c r="Y20" s="27">
        <f>IF(R20&gt;=16,"Critical",IF(R20&gt;=9,"High",IF(R20&gt;=4,"Medium","Opportunistic")))</f>
        <v/>
      </c>
    </row>
    <row r="21" ht="32.25" customHeight="1" s="19">
      <c r="A21" s="30" t="inlineStr">
        <is>
          <t>CE-CACHE-02</t>
        </is>
      </c>
      <c r="B21" s="27" t="inlineStr">
        <is>
          <t>Full cache cluster unavailable</t>
        </is>
      </c>
      <c r="C21" s="27" t="inlineStr">
        <is>
          <t>Cache</t>
        </is>
      </c>
      <c r="D21" s="27" t="inlineStr">
        <is>
          <t>Infrastructure</t>
        </is>
      </c>
      <c r="E21" s="27" t="inlineStr">
        <is>
          <t>Sync API</t>
        </is>
      </c>
      <c r="F21" s="27" t="inlineStr">
        <is>
          <t>ARM, AFM (cache-dependent APIs)</t>
        </is>
      </c>
      <c r="G21" s="27" t="inlineStr">
        <is>
          <t>Block all access to Redis for the service under load.</t>
        </is>
      </c>
      <c r="H21" s="27" t="inlineStr">
        <is>
          <t>Services degrade to Aurora-backed path (or defined degraded mode) — slower but correct; Aurora absorbs amplified read load.</t>
        </is>
      </c>
      <c r="I21" s="27" t="inlineStr">
        <is>
          <t>Custom (SG deny)</t>
        </is>
      </c>
      <c r="J21" s="27" t="inlineStr">
        <is>
          <t>Cache-dependent services</t>
        </is>
      </c>
      <c r="K21" s="27" t="inlineStr">
        <is>
          <t>Aurora saturation</t>
        </is>
      </c>
      <c r="L21" s="27" t="inlineStr">
        <is>
          <t>Correctness preserved; amplification factor measured (input to CE-CMP-05).</t>
        </is>
      </c>
      <c r="M21" s="27" t="inlineStr">
        <is>
          <t>Cache-down + DB-amplification both visible.</t>
        </is>
      </c>
      <c r="N21" s="27" t="inlineStr">
        <is>
          <t>Medium</t>
        </is>
      </c>
      <c r="O21" s="27" t="inlineStr">
        <is>
          <t>Aurora headroom differs in PERF — amplification ratio transfers, absolute capacity doesn't.</t>
        </is>
      </c>
      <c r="P21" s="27" t="n">
        <v>2</v>
      </c>
      <c r="Q21" s="27" t="n">
        <v>4</v>
      </c>
      <c r="R21" s="27">
        <f>P21*Q21</f>
        <v/>
      </c>
      <c r="S21" s="27" t="n">
        <v>2</v>
      </c>
      <c r="T21" s="27" t="inlineStr">
        <is>
          <t>CE-CACHE-01</t>
        </is>
      </c>
      <c r="U21" s="28" t="n"/>
      <c r="V21" s="28" t="n"/>
      <c r="W21" s="28" t="inlineStr">
        <is>
          <t>Proposed</t>
        </is>
      </c>
      <c r="X21" s="27">
        <f>IF(P21=5,"Almost Certain",IF(P21=4,"Likely",IF(P21=3,"Possible",IF(P21=2,"Unlikely","Rare"))))</f>
        <v/>
      </c>
      <c r="Y21" s="27">
        <f>IF(R21&gt;=16,"Critical",IF(R21&gt;=9,"High",IF(R21&gt;=4,"Medium","Opportunistic")))</f>
        <v/>
      </c>
    </row>
    <row r="22" ht="32.25" customHeight="1" s="19">
      <c r="A22" s="30" t="inlineStr">
        <is>
          <t>CE-CACHE-03</t>
        </is>
      </c>
      <c r="B22" s="27" t="inlineStr">
        <is>
          <t>Cache auth token retrieval failure (VaultSM ASM)</t>
        </is>
      </c>
      <c r="C22" s="27" t="inlineStr">
        <is>
          <t>Cache</t>
        </is>
      </c>
      <c r="D22" s="27" t="inlineStr">
        <is>
          <t>Infrastructure</t>
        </is>
      </c>
      <c r="E22" s="27" t="inlineStr">
        <is>
          <t>All cache users</t>
        </is>
      </c>
      <c r="F22" s="27" t="inlineStr">
        <is>
          <t>One service</t>
        </is>
      </c>
      <c r="G22" s="27" t="inlineStr">
        <is>
          <t>Deny ASM secret retrieval for Redis auth token; include a task recycle during the outage.</t>
        </is>
      </c>
      <c r="H22" s="27" t="inlineStr">
        <is>
          <t>Running tasks unaffected (token held); RECYCLED tasks fail startup loudly, not silently degraded; no crash-loop masking.</t>
        </is>
      </c>
      <c r="I22" s="27" t="inlineStr">
        <is>
          <t>Custom (ASM deny in PERF)</t>
        </is>
      </c>
      <c r="J22" s="27" t="inlineStr">
        <is>
          <t>One service</t>
        </is>
      </c>
      <c r="K22" s="27" t="inlineStr">
        <is>
          <t>Silent degraded serving</t>
        </is>
      </c>
      <c r="L22" s="27" t="inlineStr">
        <is>
          <t>Startup-dependency risk quantified; crash-loop backoff sane.</t>
        </is>
      </c>
      <c r="M22" s="27" t="inlineStr">
        <is>
          <t>Secret-retrieval failure alarmed distinctly.</t>
        </is>
      </c>
      <c r="N22" s="27" t="inlineStr">
        <is>
          <t>High</t>
        </is>
      </c>
      <c r="O22" s="27" t="inlineStr">
        <is>
          <t>—</t>
        </is>
      </c>
      <c r="P22" s="27" t="n">
        <v>2</v>
      </c>
      <c r="Q22" s="27" t="n">
        <v>4</v>
      </c>
      <c r="R22" s="27">
        <f>P22*Q22</f>
        <v/>
      </c>
      <c r="S22" s="27" t="n">
        <v>2</v>
      </c>
      <c r="T22" s="27" t="n"/>
      <c r="U22" s="28" t="n"/>
      <c r="V22" s="28" t="n"/>
      <c r="W22" s="28" t="inlineStr">
        <is>
          <t>Proposed</t>
        </is>
      </c>
      <c r="X22" s="27">
        <f>IF(P22=5,"Almost Certain",IF(P22=4,"Likely",IF(P22=3,"Possible",IF(P22=2,"Unlikely","Rare"))))</f>
        <v/>
      </c>
      <c r="Y22" s="27">
        <f>IF(R22&gt;=16,"Critical",IF(R22&gt;=9,"High",IF(R22&gt;=4,"Medium","Opportunistic")))</f>
        <v/>
      </c>
    </row>
    <row r="23" ht="21.75" customHeight="1" s="19">
      <c r="A23" s="30" t="inlineStr">
        <is>
          <t>CE-CACHE-04</t>
        </is>
      </c>
      <c r="B23" s="27" t="inlineStr">
        <is>
          <t>Cold-cache stampede</t>
        </is>
      </c>
      <c r="C23" s="27" t="inlineStr">
        <is>
          <t>Cache</t>
        </is>
      </c>
      <c r="D23" s="27" t="inlineStr">
        <is>
          <t>Infrastructure</t>
        </is>
      </c>
      <c r="E23" s="27" t="inlineStr">
        <is>
          <t>Sync API</t>
        </is>
      </c>
      <c r="F23" s="27" t="inlineStr">
        <is>
          <t>ARM/AFM + Aurora</t>
        </is>
      </c>
      <c r="G23" s="27" t="inlineStr">
        <is>
          <t>Flush cache under load; measure stampede onto Aurora.</t>
        </is>
      </c>
      <c r="H23" s="27" t="inlineStr">
        <is>
          <t>Request coalescing / TTL jitter / warmer limits stampede; Aurora load stays under safe threshold.</t>
        </is>
      </c>
      <c r="I23" s="27" t="inlineStr">
        <is>
          <t>Custom (FLUSH in PERF)</t>
        </is>
      </c>
      <c r="J23" s="27" t="inlineStr">
        <is>
          <t>Cache + backing DB</t>
        </is>
      </c>
      <c r="K23" s="27" t="inlineStr">
        <is>
          <t>Aurora saturation</t>
        </is>
      </c>
      <c r="L23" s="27" t="inlineStr">
        <is>
          <t>Stampede controls proven or gap documented.</t>
        </is>
      </c>
      <c r="M23" s="27" t="inlineStr">
        <is>
          <t>Amplification visible as leading indicator.</t>
        </is>
      </c>
      <c r="N23" s="27" t="inlineStr">
        <is>
          <t>Medium</t>
        </is>
      </c>
      <c r="O23" s="27" t="inlineStr">
        <is>
          <t>Absolute DB capacity differs.</t>
        </is>
      </c>
      <c r="P23" s="27" t="n">
        <v>3</v>
      </c>
      <c r="Q23" s="27" t="n">
        <v>4</v>
      </c>
      <c r="R23" s="27">
        <f>P23*Q23</f>
        <v/>
      </c>
      <c r="S23" s="27" t="n">
        <v>2</v>
      </c>
      <c r="T23" s="27" t="inlineStr">
        <is>
          <t>CE-CACHE-02</t>
        </is>
      </c>
      <c r="U23" s="28" t="n"/>
      <c r="V23" s="28" t="n"/>
      <c r="W23" s="28" t="inlineStr">
        <is>
          <t>Proposed</t>
        </is>
      </c>
      <c r="X23" s="27">
        <f>IF(P23=5,"Almost Certain",IF(P23=4,"Likely",IF(P23=3,"Possible",IF(P23=2,"Unlikely","Rare"))))</f>
        <v/>
      </c>
      <c r="Y23" s="27">
        <f>IF(R23&gt;=16,"Critical",IF(R23&gt;=9,"High",IF(R23&gt;=4,"Medium","Opportunistic")))</f>
        <v/>
      </c>
    </row>
    <row r="24" ht="32.25" customHeight="1" s="19">
      <c r="A24" s="30" t="inlineStr">
        <is>
          <t>CE-CACHE-05</t>
        </is>
      </c>
      <c r="B24" s="27" t="inlineStr">
        <is>
          <t>ElastiCache loss MID-RECON (EOD datastore)</t>
        </is>
      </c>
      <c r="C24" s="27" t="inlineStr">
        <is>
          <t>Cache</t>
        </is>
      </c>
      <c r="D24" s="27" t="inlineStr">
        <is>
          <t>Infrastructure</t>
        </is>
      </c>
      <c r="E24" s="27" t="inlineStr">
        <is>
          <t>Recon/pipeline</t>
        </is>
      </c>
      <c r="F24" s="27" t="inlineStr">
        <is>
          <t>DTR</t>
        </is>
      </c>
      <c r="G24" s="27" t="inlineStr">
        <is>
          <t>Fail Redis while DTR is mid-reconciliation (EOD txn cache in use).</t>
        </is>
      </c>
      <c r="H24" s="27" t="inlineStr">
        <is>
          <t>Recon detects datastore loss, fails safe (no partial/incorrect postings), and is restartable — re-pull from CBS EOD API rather than corrupt continuation.</t>
        </is>
      </c>
      <c r="I24" s="27" t="inlineStr">
        <is>
          <t>FIS/console failover + custom timing</t>
        </is>
      </c>
      <c r="J24" s="27" t="inlineStr">
        <is>
          <t>Recon run</t>
        </is>
      </c>
      <c r="K24" s="27" t="inlineStr">
        <is>
          <t>ANY posting correction from bad state</t>
        </is>
      </c>
      <c r="L24" s="27" t="inlineStr">
        <is>
          <t>No incorrect Posting-API corrections; rerun completes in window; Redis-as-datastore (not cache) risk documented.</t>
        </is>
      </c>
      <c r="M24" s="27" t="inlineStr">
        <is>
          <t>Mid-run datastore loss pages recon on-call immediately.</t>
        </is>
      </c>
      <c r="N24" s="27" t="inlineStr">
        <is>
          <t>High</t>
        </is>
      </c>
      <c r="O24" s="27" t="inlineStr">
        <is>
          <t>Logic-level; file volumes smaller in PERF (timing caveat).</t>
        </is>
      </c>
      <c r="P24" s="27" t="n">
        <v>2</v>
      </c>
      <c r="Q24" s="27" t="n">
        <v>5</v>
      </c>
      <c r="R24" s="27">
        <f>P24*Q24</f>
        <v/>
      </c>
      <c r="S24" s="27" t="n">
        <v>2</v>
      </c>
      <c r="T24" s="27" t="inlineStr">
        <is>
          <t>CE-CACHE-01,CE-PIPE-10</t>
        </is>
      </c>
      <c r="U24" s="28" t="n"/>
      <c r="V24" s="28" t="n"/>
      <c r="W24" s="28" t="inlineStr">
        <is>
          <t>Proposed</t>
        </is>
      </c>
      <c r="X24" s="27">
        <f>IF(P24=5,"Almost Certain",IF(P24=4,"Likely",IF(P24=3,"Possible",IF(P24=2,"Unlikely","Rare"))))</f>
        <v/>
      </c>
      <c r="Y24" s="27">
        <f>IF(R24&gt;=16,"Critical",IF(R24&gt;=9,"High",IF(R24&gt;=4,"Medium","Opportunistic")))</f>
        <v/>
      </c>
    </row>
    <row r="25" ht="21.75" customHeight="1" s="19">
      <c r="A25" s="30" t="inlineStr">
        <is>
          <t>CE-CACHE-06</t>
        </is>
      </c>
      <c r="B25" s="27" t="inlineStr">
        <is>
          <t>Recon purge failure — memory accumulation</t>
        </is>
      </c>
      <c r="C25" s="27" t="inlineStr">
        <is>
          <t>Cache</t>
        </is>
      </c>
      <c r="D25" s="27" t="inlineStr">
        <is>
          <t>Detection</t>
        </is>
      </c>
      <c r="E25" s="27" t="inlineStr">
        <is>
          <t>Recon/pipeline</t>
        </is>
      </c>
      <c r="F25" s="27" t="inlineStr">
        <is>
          <t>DTR</t>
        </is>
      </c>
      <c r="G25" s="27" t="inlineStr">
        <is>
          <t>Suppress the post-recon purge (step 10) across simulated cycles.</t>
        </is>
      </c>
      <c r="H25" s="27" t="inlineStr">
        <is>
          <t>Memory-pressure trend is detected well before eviction threatens the next recon's EOD dataset.</t>
        </is>
      </c>
      <c r="I25" s="27" t="inlineStr">
        <is>
          <t>Custom (skip purge in PERF)</t>
        </is>
      </c>
      <c r="J25" s="27" t="inlineStr">
        <is>
          <t>Redis capacity trend</t>
        </is>
      </c>
      <c r="K25" s="27" t="inlineStr">
        <is>
          <t>n/a (observation)</t>
        </is>
      </c>
      <c r="L25" s="27" t="inlineStr">
        <is>
          <t>Days-to-failure runway quantified.</t>
        </is>
      </c>
      <c r="M25" s="27" t="inlineStr">
        <is>
          <t>Trend alarm exists with adequate lead time (suspected gap).</t>
        </is>
      </c>
      <c r="N25" s="27" t="inlineStr">
        <is>
          <t>High</t>
        </is>
      </c>
      <c r="O25" s="27" t="inlineStr">
        <is>
          <t>Trend math transfers.</t>
        </is>
      </c>
      <c r="P25" s="27" t="n">
        <v>2</v>
      </c>
      <c r="Q25" s="27" t="n">
        <v>4</v>
      </c>
      <c r="R25" s="27">
        <f>P25*Q25</f>
        <v/>
      </c>
      <c r="S25" s="27" t="n">
        <v>2</v>
      </c>
      <c r="T25" s="27" t="n"/>
      <c r="U25" s="28" t="n"/>
      <c r="V25" s="28" t="n"/>
      <c r="W25" s="28" t="inlineStr">
        <is>
          <t>Proposed</t>
        </is>
      </c>
      <c r="X25" s="27">
        <f>IF(P25=5,"Almost Certain",IF(P25=4,"Likely",IF(P25=3,"Possible",IF(P25=2,"Unlikely","Rare"))))</f>
        <v/>
      </c>
      <c r="Y25" s="27">
        <f>IF(R25&gt;=16,"Critical",IF(R25&gt;=9,"High",IF(R25&gt;=4,"Medium","Opportunistic")))</f>
        <v/>
      </c>
    </row>
    <row r="26" ht="32.25" customHeight="1" s="19">
      <c r="A26" s="30" t="inlineStr">
        <is>
          <t>CE-CACHE-07</t>
        </is>
      </c>
      <c r="B26" s="27" t="inlineStr">
        <is>
          <t>Post-regional-failover cold cache</t>
        </is>
      </c>
      <c r="C26" s="27" t="inlineStr">
        <is>
          <t>Cache</t>
        </is>
      </c>
      <c r="D26" s="27" t="inlineStr">
        <is>
          <t>Infrastructure</t>
        </is>
      </c>
      <c r="E26" s="27" t="inlineStr">
        <is>
          <t>All cache users</t>
        </is>
      </c>
      <c r="F26" s="27" t="inlineStr">
        <is>
          <t>Surviving-region Redis</t>
        </is>
      </c>
      <c r="G26" s="27" t="inlineStr">
        <is>
          <t>Per-region static clusters ⇒ regional failover lands on a cold cache. Simulate by directing load at standby-region cache.</t>
        </is>
      </c>
      <c r="H26" s="27" t="inlineStr">
        <is>
          <t>Surviving region absorbs cold-start read amplification during DR without breaching Aurora capacity.</t>
        </is>
      </c>
      <c r="I26" s="27" t="inlineStr">
        <is>
          <t>Custom + load</t>
        </is>
      </c>
      <c r="J26" s="27" t="inlineStr">
        <is>
          <t>Standby region</t>
        </is>
      </c>
      <c r="K26" s="27" t="inlineStr">
        <is>
          <t>Aurora saturation</t>
        </is>
      </c>
      <c r="L26" s="27" t="inlineStr">
        <is>
          <t>Cold-start curve measured; feeds DR capacity plan and CE-CMP-05.</t>
        </is>
      </c>
      <c r="M26" s="27" t="inlineStr">
        <is>
          <t>Standby-region dashboards actually populated (validate).</t>
        </is>
      </c>
      <c r="N26" s="27" t="inlineStr">
        <is>
          <t>Medium</t>
        </is>
      </c>
      <c r="O26" s="27" t="inlineStr">
        <is>
          <t>Standby capacity parity TBD.</t>
        </is>
      </c>
      <c r="P26" s="27" t="n">
        <v>3</v>
      </c>
      <c r="Q26" s="27" t="n">
        <v>4</v>
      </c>
      <c r="R26" s="27">
        <f>P26*Q26</f>
        <v/>
      </c>
      <c r="S26" s="27" t="n">
        <v>3</v>
      </c>
      <c r="T26" s="27" t="inlineStr">
        <is>
          <t>CE-CACHE-04</t>
        </is>
      </c>
      <c r="U26" s="28" t="n"/>
      <c r="V26" s="28" t="n"/>
      <c r="W26" s="28" t="inlineStr">
        <is>
          <t>Proposed</t>
        </is>
      </c>
      <c r="X26" s="27">
        <f>IF(P26=5,"Almost Certain",IF(P26=4,"Likely",IF(P26=3,"Possible",IF(P26=2,"Unlikely","Rare"))))</f>
        <v/>
      </c>
      <c r="Y26" s="27">
        <f>IF(R26&gt;=16,"Critical",IF(R26&gt;=9,"High",IF(R26&gt;=4,"Medium","Opportunistic")))</f>
        <v/>
      </c>
    </row>
    <row r="27" ht="32.25" customHeight="1" s="19">
      <c r="A27" s="30" t="inlineStr">
        <is>
          <t>CE-KFK-01</t>
        </is>
      </c>
      <c r="B27" s="27" t="inlineStr">
        <is>
          <t>MBUS cluster unreachable</t>
        </is>
      </c>
      <c r="C27" s="27" t="inlineStr">
        <is>
          <t>Messaging-Kafka</t>
        </is>
      </c>
      <c r="D27" s="27" t="inlineStr">
        <is>
          <t>Infrastructure</t>
        </is>
      </c>
      <c r="E27" s="27" t="inlineStr">
        <is>
          <t>Event processor + publishers</t>
        </is>
      </c>
      <c r="F27" s="27" t="inlineStr">
        <is>
          <t>DBE, DTE, DSC, DAL, DSM, SAM, DCM, AFM</t>
        </is>
      </c>
      <c r="G27" s="27" t="inlineStr">
        <is>
          <t>Blackhole network path to on-prem MBUS (C001/C002).</t>
        </is>
      </c>
      <c r="H27" s="27" t="inlineStr">
        <is>
          <t>Consumers idle without crash-loop; producers buffer/queue per config without data loss or unbounded memory; full catch-up on restore with no gaps/dupes.</t>
        </is>
      </c>
      <c r="I27" s="27" t="inlineStr">
        <is>
          <t>Custom (network blackhole PERF)</t>
        </is>
      </c>
      <c r="J27" s="27" t="inlineStr">
        <is>
          <t>All Kafka traffic</t>
        </is>
      </c>
      <c r="K27" s="27" t="inlineStr">
        <is>
          <t>Producer memory growth unbounded</t>
        </is>
      </c>
      <c r="L27" s="27" t="inlineStr">
        <is>
          <t>Zero event loss post-restore; backlog drain time measured; producer overflow policy proven.</t>
        </is>
      </c>
      <c r="M27" s="27" t="inlineStr">
        <is>
          <t>Broker-unreachable alarm + per-consumer lag visible.</t>
        </is>
      </c>
      <c r="N27" s="27" t="inlineStr">
        <is>
          <t>High</t>
        </is>
      </c>
      <c r="O27" s="27" t="inlineStr">
        <is>
          <t>Client behavior transfers; on-prem path is same class of fault as PROD DX loss.</t>
        </is>
      </c>
      <c r="P27" s="27" t="n">
        <v>3</v>
      </c>
      <c r="Q27" s="27" t="n">
        <v>5</v>
      </c>
      <c r="R27" s="27">
        <f>P27*Q27</f>
        <v/>
      </c>
      <c r="S27" s="27" t="n">
        <v>2</v>
      </c>
      <c r="T27" s="27" t="inlineStr">
        <is>
          <t>CE-KFK-06</t>
        </is>
      </c>
      <c r="U27" s="28" t="n"/>
      <c r="V27" s="28" t="n"/>
      <c r="W27" s="28" t="inlineStr">
        <is>
          <t>Proposed</t>
        </is>
      </c>
      <c r="X27" s="27">
        <f>IF(P27=5,"Almost Certain",IF(P27=4,"Likely",IF(P27=3,"Possible",IF(P27=2,"Unlikely","Rare"))))</f>
        <v/>
      </c>
      <c r="Y27" s="27">
        <f>IF(R27&gt;=16,"Critical",IF(R27&gt;=9,"High",IF(R27&gt;=4,"Medium","Opportunistic")))</f>
        <v/>
      </c>
    </row>
    <row r="28" ht="32.25" customHeight="1" s="19">
      <c r="A28" s="30" t="inlineStr">
        <is>
          <t>CE-KFK-02</t>
        </is>
      </c>
      <c r="B28" s="27" t="inlineStr">
        <is>
          <t>MBUS unreachable during EOD window</t>
        </is>
      </c>
      <c r="C28" s="27" t="inlineStr">
        <is>
          <t>Messaging-Kafka</t>
        </is>
      </c>
      <c r="D28" s="27" t="inlineStr">
        <is>
          <t>Compound</t>
        </is>
      </c>
      <c r="E28" s="27" t="inlineStr">
        <is>
          <t>Recon + processors</t>
        </is>
      </c>
      <c r="F28" s="27" t="inlineStr">
        <is>
          <t>DTR primarily</t>
        </is>
      </c>
      <c r="G28" s="27" t="inlineStr">
        <is>
          <t>MBUS outage timed across CBS EOD Completion publication.</t>
        </is>
      </c>
      <c r="H28" s="27" t="inlineStr">
        <is>
          <t>DTR's missing-trigger handling (see PIPE-06) engages; recon completes late-but-correct via defined recovery, inside business tolerance.</t>
        </is>
      </c>
      <c r="I28" s="27" t="inlineStr">
        <is>
          <t>Custom timing</t>
        </is>
      </c>
      <c r="J28" s="27" t="inlineStr">
        <is>
          <t>EOD processing</t>
        </is>
      </c>
      <c r="K28" s="27" t="inlineStr">
        <is>
          <t>Recon SLA breach unmanaged</t>
        </is>
      </c>
      <c r="L28" s="27" t="inlineStr">
        <is>
          <t>Recovery path exercised end-to-end; late-recon comms path (EDX/Ops) fires.</t>
        </is>
      </c>
      <c r="M28" s="27" t="inlineStr">
        <is>
          <t>EOD-event-absence alarm with deadline semantics (suspected gap).</t>
        </is>
      </c>
      <c r="N28" s="27" t="inlineStr">
        <is>
          <t>High</t>
        </is>
      </c>
      <c r="O28" s="27" t="inlineStr">
        <is>
          <t>—</t>
        </is>
      </c>
      <c r="P28" s="27" t="n">
        <v>2</v>
      </c>
      <c r="Q28" s="27" t="n">
        <v>5</v>
      </c>
      <c r="R28" s="27">
        <f>P28*Q28</f>
        <v/>
      </c>
      <c r="S28" s="27" t="n">
        <v>3</v>
      </c>
      <c r="T28" s="27" t="inlineStr">
        <is>
          <t>CE-KFK-01,CE-PIPE-06</t>
        </is>
      </c>
      <c r="U28" s="28" t="n"/>
      <c r="V28" s="28" t="n"/>
      <c r="W28" s="28" t="inlineStr">
        <is>
          <t>Proposed</t>
        </is>
      </c>
      <c r="X28" s="27">
        <f>IF(P28=5,"Almost Certain",IF(P28=4,"Likely",IF(P28=3,"Possible",IF(P28=2,"Unlikely","Rare"))))</f>
        <v/>
      </c>
      <c r="Y28" s="27">
        <f>IF(R28&gt;=16,"Critical",IF(R28&gt;=9,"High",IF(R28&gt;=4,"Medium","Opportunistic")))</f>
        <v/>
      </c>
    </row>
    <row r="29" ht="32.25" customHeight="1" s="19">
      <c r="A29" s="30" t="inlineStr">
        <is>
          <t>CE-KFK-03</t>
        </is>
      </c>
      <c r="B29" s="27" t="inlineStr">
        <is>
          <t>Consumer rebalance storm</t>
        </is>
      </c>
      <c r="C29" s="27" t="inlineStr">
        <is>
          <t>Messaging-Kafka</t>
        </is>
      </c>
      <c r="D29" s="27" t="inlineStr">
        <is>
          <t>Infrastructure</t>
        </is>
      </c>
      <c r="E29" s="27" t="inlineStr">
        <is>
          <t>Event processor</t>
        </is>
      </c>
      <c r="F29" s="27" t="inlineStr">
        <is>
          <t>DBE or DTE</t>
        </is>
      </c>
      <c r="G29" s="27" t="inlineStr">
        <is>
          <t>Repeatedly kill/restart consumer tasks to force serial rebalances.</t>
        </is>
      </c>
      <c r="H29" s="27" t="inlineStr">
        <is>
          <t>Rebalance protocol (cooperative?) limits pause; no duplicate enrichment side-effects; lag recovers between storms.</t>
        </is>
      </c>
      <c r="I29" s="27" t="inlineStr">
        <is>
          <t>FIS stop-task loop</t>
        </is>
      </c>
      <c r="J29" s="27" t="inlineStr">
        <is>
          <t>One consumer group</t>
        </is>
      </c>
      <c r="K29" s="27" t="inlineStr">
        <is>
          <t>Duplicate enriched events downstream</t>
        </is>
      </c>
      <c r="L29" s="27" t="inlineStr">
        <is>
          <t>Processing-pause per rebalance quantified; assignment strategy validated.</t>
        </is>
      </c>
      <c r="M29" s="27" t="inlineStr">
        <is>
          <t>Rebalance frequency alarmed as abnormal.</t>
        </is>
      </c>
      <c r="N29" s="27" t="inlineStr">
        <is>
          <t>High</t>
        </is>
      </c>
      <c r="O29" s="27" t="inlineStr">
        <is>
          <t>—</t>
        </is>
      </c>
      <c r="P29" s="27" t="n">
        <v>3</v>
      </c>
      <c r="Q29" s="27" t="n">
        <v>3</v>
      </c>
      <c r="R29" s="27">
        <f>P29*Q29</f>
        <v/>
      </c>
      <c r="S29" s="27" t="n">
        <v>2</v>
      </c>
      <c r="T29" s="27" t="inlineStr">
        <is>
          <t>CE-COM-04</t>
        </is>
      </c>
      <c r="U29" s="28" t="n"/>
      <c r="V29" s="28" t="n"/>
      <c r="W29" s="28" t="inlineStr">
        <is>
          <t>Proposed</t>
        </is>
      </c>
      <c r="X29" s="27">
        <f>IF(P29=5,"Almost Certain",IF(P29=4,"Likely",IF(P29=3,"Possible",IF(P29=2,"Unlikely","Rare"))))</f>
        <v/>
      </c>
      <c r="Y29" s="27">
        <f>IF(R29&gt;=16,"Critical",IF(R29&gt;=9,"High",IF(R29&gt;=4,"Medium","Opportunistic")))</f>
        <v/>
      </c>
    </row>
    <row r="30" ht="32.25" customHeight="1" s="19">
      <c r="A30" s="30" t="inlineStr">
        <is>
          <t>CE-KFK-04</t>
        </is>
      </c>
      <c r="B30" s="27" t="inlineStr">
        <is>
          <t>Poison message handling</t>
        </is>
      </c>
      <c r="C30" s="27" t="inlineStr">
        <is>
          <t>Messaging-Kafka</t>
        </is>
      </c>
      <c r="D30" s="27" t="inlineStr">
        <is>
          <t>Application</t>
        </is>
      </c>
      <c r="E30" s="27" t="inlineStr">
        <is>
          <t>Event processor</t>
        </is>
      </c>
      <c r="F30" s="27" t="inlineStr">
        <is>
          <t>DBE, DTE, DSC, DAL (each)</t>
        </is>
      </c>
      <c r="G30" s="27" t="inlineStr">
        <is>
          <t>Publish malformed/contract-violating event to PERF topic.</t>
        </is>
      </c>
      <c r="H30" s="27" t="inlineStr">
        <is>
          <t>Consumer parks/DLQs the message and CONTINUES — one bad event cannot halt the partition (classic head-of-line risk).</t>
        </is>
      </c>
      <c r="I30" s="27" t="inlineStr">
        <is>
          <t>Custom producer (PERF topics)</t>
        </is>
      </c>
      <c r="J30" s="27" t="inlineStr">
        <is>
          <t>One partition</t>
        </is>
      </c>
      <c r="K30" s="27" t="inlineStr">
        <is>
          <t>Partition stalled &gt;5 min</t>
        </is>
      </c>
      <c r="L30" s="27" t="inlineStr">
        <is>
          <t>Skip/park behavior proven per consumer; replay procedure exists.</t>
        </is>
      </c>
      <c r="M30" s="27" t="inlineStr">
        <is>
          <t>Poison/parked-message alarm fires with payload pointer.</t>
        </is>
      </c>
      <c r="N30" s="27" t="inlineStr">
        <is>
          <t>High</t>
        </is>
      </c>
      <c r="O30" s="27" t="inlineStr">
        <is>
          <t>Logic-level.</t>
        </is>
      </c>
      <c r="P30" s="27" t="n">
        <v>4</v>
      </c>
      <c r="Q30" s="27" t="n">
        <v>4</v>
      </c>
      <c r="R30" s="27">
        <f>P30*Q30</f>
        <v/>
      </c>
      <c r="S30" s="27" t="n">
        <v>1</v>
      </c>
      <c r="T30" s="27" t="n"/>
      <c r="U30" s="28" t="n"/>
      <c r="V30" s="28" t="n"/>
      <c r="W30" s="28" t="inlineStr">
        <is>
          <t>Proposed</t>
        </is>
      </c>
      <c r="X30" s="27">
        <f>IF(P30=5,"Almost Certain",IF(P30=4,"Likely",IF(P30=3,"Possible",IF(P30=2,"Unlikely","Rare"))))</f>
        <v/>
      </c>
      <c r="Y30" s="27">
        <f>IF(R30&gt;=16,"Critical",IF(R30&gt;=9,"High",IF(R30&gt;=4,"Medium","Opportunistic")))</f>
        <v/>
      </c>
    </row>
    <row r="31" ht="32.25" customHeight="1" s="19">
      <c r="A31" s="30" t="inlineStr">
        <is>
          <t>CE-KFK-05</t>
        </is>
      </c>
      <c r="B31" s="27" t="inlineStr">
        <is>
          <t>Duplicate delivery idempotency</t>
        </is>
      </c>
      <c r="C31" s="27" t="inlineStr">
        <is>
          <t>Messaging-Kafka</t>
        </is>
      </c>
      <c r="D31" s="27" t="inlineStr">
        <is>
          <t>Application</t>
        </is>
      </c>
      <c r="E31" s="27" t="inlineStr">
        <is>
          <t>Event processor</t>
        </is>
      </c>
      <c r="F31" s="27" t="inlineStr">
        <is>
          <t>DBE, DTE, DSC, DAL (each)</t>
        </is>
      </c>
      <c r="G31" s="27" t="inlineStr">
        <is>
          <t>Re-publish already-processed events (at-least-once reality).</t>
        </is>
      </c>
      <c r="H31" s="27" t="inlineStr">
        <is>
          <t>Every consumer is effectively idempotent: no duplicate enriched events to AU/ETU, no duplicate alerts to NOTIFY, no double cache writes.</t>
        </is>
      </c>
      <c r="I31" s="27" t="inlineStr">
        <is>
          <t>Custom producer</t>
        </is>
      </c>
      <c r="J31" s="27" t="inlineStr">
        <is>
          <t>Downstream consumers</t>
        </is>
      </c>
      <c r="K31" s="27" t="inlineStr">
        <is>
          <t>Any duplicate side-effect</t>
        </is>
      </c>
      <c r="L31" s="27" t="inlineStr">
        <is>
          <t>Idempotency proven per consumer per event type.</t>
        </is>
      </c>
      <c r="M31" s="27" t="inlineStr">
        <is>
          <t>Duplicate-detection metrics exist (nice-to-have).</t>
        </is>
      </c>
      <c r="N31" s="27" t="inlineStr">
        <is>
          <t>High</t>
        </is>
      </c>
      <c r="O31" s="27" t="inlineStr">
        <is>
          <t>Logic-level.</t>
        </is>
      </c>
      <c r="P31" s="27" t="n">
        <v>4</v>
      </c>
      <c r="Q31" s="27" t="n">
        <v>4</v>
      </c>
      <c r="R31" s="27">
        <f>P31*Q31</f>
        <v/>
      </c>
      <c r="S31" s="27" t="n">
        <v>1</v>
      </c>
      <c r="T31" s="27" t="n"/>
      <c r="U31" s="28" t="n"/>
      <c r="V31" s="28" t="n"/>
      <c r="W31" s="28" t="inlineStr">
        <is>
          <t>Proposed</t>
        </is>
      </c>
      <c r="X31" s="27">
        <f>IF(P31=5,"Almost Certain",IF(P31=4,"Likely",IF(P31=3,"Possible",IF(P31=2,"Unlikely","Rare"))))</f>
        <v/>
      </c>
      <c r="Y31" s="27">
        <f>IF(R31&gt;=16,"Critical",IF(R31&gt;=9,"High",IF(R31&gt;=4,"Medium","Opportunistic")))</f>
        <v/>
      </c>
    </row>
    <row r="32" ht="32.25" customHeight="1" s="19">
      <c r="A32" s="30" t="inlineStr">
        <is>
          <t>CE-KFK-06</t>
        </is>
      </c>
      <c r="B32" s="27" t="inlineStr">
        <is>
          <t>Consumer lag accumulation &amp; drain</t>
        </is>
      </c>
      <c r="C32" s="27" t="inlineStr">
        <is>
          <t>Messaging-Kafka</t>
        </is>
      </c>
      <c r="D32" s="27" t="inlineStr">
        <is>
          <t>Infrastructure</t>
        </is>
      </c>
      <c r="E32" s="27" t="inlineStr">
        <is>
          <t>Event processor</t>
        </is>
      </c>
      <c r="F32" s="27" t="inlineStr">
        <is>
          <t>DBE, DTE</t>
        </is>
      </c>
      <c r="G32" s="27" t="inlineStr">
        <is>
          <t>Pause consumption (scale to 0) for a bounded window, then resume.</t>
        </is>
      </c>
      <c r="H32" s="27" t="inlineStr">
        <is>
          <t>Backlog drains within recovery-time model; ordering preserved; downstream (AU/ETU) absorbs burst.</t>
        </is>
      </c>
      <c r="I32" s="27" t="inlineStr">
        <is>
          <t>Scale-to-zero + resume</t>
        </is>
      </c>
      <c r="J32" s="27" t="inlineStr">
        <is>
          <t>One consumer group</t>
        </is>
      </c>
      <c r="K32" s="27" t="inlineStr">
        <is>
          <t>Retention risk approached</t>
        </is>
      </c>
      <c r="L32" s="27" t="inlineStr">
        <is>
          <t>Drain rate measured ⇒ max tolerable outage derived (feeds KFK-01/02).</t>
        </is>
      </c>
      <c r="M32" s="27" t="inlineStr">
        <is>
          <t>Lag alarm thresholds validated against real drain math.</t>
        </is>
      </c>
      <c r="N32" s="27" t="inlineStr">
        <is>
          <t>Medium</t>
        </is>
      </c>
      <c r="O32" s="27" t="inlineStr">
        <is>
          <t>Throughput differs in PERF; drain RATE transfers, absolute times don't.</t>
        </is>
      </c>
      <c r="P32" s="27" t="n">
        <v>3</v>
      </c>
      <c r="Q32" s="27" t="n">
        <v>3</v>
      </c>
      <c r="R32" s="27">
        <f>P32*Q32</f>
        <v/>
      </c>
      <c r="S32" s="27" t="n">
        <v>1</v>
      </c>
      <c r="T32" s="27" t="n"/>
      <c r="U32" s="28" t="n"/>
      <c r="V32" s="28" t="n"/>
      <c r="W32" s="28" t="inlineStr">
        <is>
          <t>Proposed</t>
        </is>
      </c>
      <c r="X32" s="27">
        <f>IF(P32=5,"Almost Certain",IF(P32=4,"Likely",IF(P32=3,"Possible",IF(P32=2,"Unlikely","Rare"))))</f>
        <v/>
      </c>
      <c r="Y32" s="27">
        <f>IF(R32&gt;=16,"Critical",IF(R32&gt;=9,"High",IF(R32&gt;=4,"Medium","Opportunistic")))</f>
        <v/>
      </c>
    </row>
    <row r="33" ht="32.25" customHeight="1" s="19">
      <c r="A33" s="30" t="inlineStr">
        <is>
          <t>CE-KFK-07</t>
        </is>
      </c>
      <c r="B33" s="27" t="inlineStr">
        <is>
          <t>IDP OAUTHBEARER token failure (Kafka auth)</t>
        </is>
      </c>
      <c r="C33" s="27" t="inlineStr">
        <is>
          <t>Messaging-Kafka</t>
        </is>
      </c>
      <c r="D33" s="27" t="inlineStr">
        <is>
          <t>Infrastructure</t>
        </is>
      </c>
      <c r="E33" s="27" t="inlineStr">
        <is>
          <t>All Kafka clients</t>
        </is>
      </c>
      <c r="F33" s="27" t="inlineStr">
        <is>
          <t>One consumer + one producer</t>
        </is>
      </c>
      <c r="G33" s="27" t="inlineStr">
        <is>
          <t>Block IDP token issuance for Kafka SASL auth; include re-auth boundary.</t>
        </is>
      </c>
      <c r="H33" s="27" t="inlineStr">
        <is>
          <t>Existing sessions survive to re-auth boundary; failed re-auth backs off sanely (no auth-storm against IDP); clear failure signature.</t>
        </is>
      </c>
      <c r="I33" s="27" t="inlineStr">
        <is>
          <t>Custom (IDP path block PERF)</t>
        </is>
      </c>
      <c r="J33" s="27" t="inlineStr">
        <is>
          <t>Kafka connectivity</t>
        </is>
      </c>
      <c r="K33" s="27" t="inlineStr">
        <is>
          <t>Auth retry storm</t>
        </is>
      </c>
      <c r="L33" s="27" t="inlineStr">
        <is>
          <t>Session lifetime + backoff behavior documented; recovery clean.</t>
        </is>
      </c>
      <c r="M33" s="27" t="inlineStr">
        <is>
          <t>Kafka-auth failure distinct from broker-unreachable in alerts.</t>
        </is>
      </c>
      <c r="N33" s="27" t="inlineStr">
        <is>
          <t>High</t>
        </is>
      </c>
      <c r="O33" s="27" t="inlineStr">
        <is>
          <t>—</t>
        </is>
      </c>
      <c r="P33" s="27" t="n">
        <v>2</v>
      </c>
      <c r="Q33" s="27" t="n">
        <v>4</v>
      </c>
      <c r="R33" s="27">
        <f>P33*Q33</f>
        <v/>
      </c>
      <c r="S33" s="27" t="n">
        <v>2</v>
      </c>
      <c r="T33" s="27" t="n"/>
      <c r="U33" s="28" t="n"/>
      <c r="V33" s="28" t="n"/>
      <c r="W33" s="28" t="inlineStr">
        <is>
          <t>Proposed</t>
        </is>
      </c>
      <c r="X33" s="27">
        <f>IF(P33=5,"Almost Certain",IF(P33=4,"Likely",IF(P33=3,"Possible",IF(P33=2,"Unlikely","Rare"))))</f>
        <v/>
      </c>
      <c r="Y33" s="27">
        <f>IF(R33&gt;=16,"Critical",IF(R33&gt;=9,"High",IF(R33&gt;=4,"Medium","Opportunistic")))</f>
        <v/>
      </c>
    </row>
    <row r="34" ht="32.25" customHeight="1" s="19">
      <c r="A34" s="30" t="inlineStr">
        <is>
          <t>CE-KFK-08</t>
        </is>
      </c>
      <c r="B34" s="27" t="inlineStr">
        <is>
          <t>KMS key access denial — encrypted topics</t>
        </is>
      </c>
      <c r="C34" s="27" t="inlineStr">
        <is>
          <t>Messaging-Kafka</t>
        </is>
      </c>
      <c r="D34" s="27" t="inlineStr">
        <is>
          <t>Infrastructure</t>
        </is>
      </c>
      <c r="E34" s="27" t="inlineStr">
        <is>
          <t>Publisher/consumer</t>
        </is>
      </c>
      <c r="F34" s="27" t="inlineStr">
        <is>
          <t>DSM, DBE (subledger/balance event aliases)</t>
        </is>
      </c>
      <c r="G34" s="27" t="inlineStr">
        <is>
          <t>Deny kms:Decrypt/Encrypt on topic keys for the service role.</t>
        </is>
      </c>
      <c r="H34" s="27" t="inlineStr">
        <is>
          <t>Publish/consume fails closed with explicit KMS error; no silent drop; processing halts visibly and resumes on restore.</t>
        </is>
      </c>
      <c r="I34" s="27" t="inlineStr">
        <is>
          <t>Custom (KMS key policy PERF)</t>
        </is>
      </c>
      <c r="J34" s="27" t="inlineStr">
        <is>
          <t>Encrypted event flows</t>
        </is>
      </c>
      <c r="K34" s="27" t="inlineStr">
        <is>
          <t>Silent event loss</t>
        </is>
      </c>
      <c r="L34" s="27" t="inlineStr">
        <is>
          <t>Zero loss; halt-and-resume clean.</t>
        </is>
      </c>
      <c r="M34" s="27" t="inlineStr">
        <is>
          <t>KMS-denial signature alarmed.</t>
        </is>
      </c>
      <c r="N34" s="27" t="inlineStr">
        <is>
          <t>High</t>
        </is>
      </c>
      <c r="O34" s="27" t="inlineStr">
        <is>
          <t>—</t>
        </is>
      </c>
      <c r="P34" s="27" t="n">
        <v>2</v>
      </c>
      <c r="Q34" s="27" t="n">
        <v>4</v>
      </c>
      <c r="R34" s="27">
        <f>P34*Q34</f>
        <v/>
      </c>
      <c r="S34" s="27" t="n">
        <v>2</v>
      </c>
      <c r="T34" s="27" t="n"/>
      <c r="U34" s="28" t="n"/>
      <c r="V34" s="28" t="n"/>
      <c r="W34" s="28" t="inlineStr">
        <is>
          <t>Proposed</t>
        </is>
      </c>
      <c r="X34" s="27">
        <f>IF(P34=5,"Almost Certain",IF(P34=4,"Likely",IF(P34=3,"Possible",IF(P34=2,"Unlikely","Rare"))))</f>
        <v/>
      </c>
      <c r="Y34" s="27">
        <f>IF(R34&gt;=16,"Critical",IF(R34&gt;=9,"High",IF(R34&gt;=4,"Medium","Opportunistic")))</f>
        <v/>
      </c>
    </row>
    <row r="35" ht="32.25" customHeight="1" s="19">
      <c r="A35" s="30" t="inlineStr">
        <is>
          <t>CE-KFK-09</t>
        </is>
      </c>
      <c r="B35" s="27" t="inlineStr">
        <is>
          <t>PLACEHOLDER — Kafka SaaS migration scenario set</t>
        </is>
      </c>
      <c r="C35" s="27" t="inlineStr">
        <is>
          <t>Messaging-Kafka</t>
        </is>
      </c>
      <c r="D35" s="27" t="inlineStr">
        <is>
          <t>TBD</t>
        </is>
      </c>
      <c r="E35" s="27" t="inlineStr">
        <is>
          <t>Event processor</t>
        </is>
      </c>
      <c r="F35" s="27" t="inlineStr">
        <is>
          <t>TBD</t>
        </is>
      </c>
      <c r="G35" s="27" t="inlineStr">
        <is>
          <t>Reserved: re-run KFK-01..08 against Kafka SaaS on AWS; add SaaS-specific faults (quota throttling, private-link path, provider AZ events).</t>
        </is>
      </c>
      <c r="H35" s="27" t="inlineStr">
        <is>
          <t>TBD when platform selected.</t>
        </is>
      </c>
      <c r="I35" s="27" t="inlineStr">
        <is>
          <t>TBD</t>
        </is>
      </c>
      <c r="J35" s="27" t="inlineStr">
        <is>
          <t>TBD</t>
        </is>
      </c>
      <c r="K35" s="27" t="inlineStr">
        <is>
          <t>TBD</t>
        </is>
      </c>
      <c r="L35" s="27" t="inlineStr">
        <is>
          <t>TBD</t>
        </is>
      </c>
      <c r="M35" s="27" t="inlineStr">
        <is>
          <t>TBD</t>
        </is>
      </c>
      <c r="N35" s="27" t="inlineStr">
        <is>
          <t>TBD</t>
        </is>
      </c>
      <c r="O35" s="27" t="inlineStr">
        <is>
          <t>Per user direction: placeholder only, do not plan yet.</t>
        </is>
      </c>
      <c r="P35" s="27" t="n">
        <v>0</v>
      </c>
      <c r="Q35" s="27" t="n">
        <v>0</v>
      </c>
      <c r="R35" s="27">
        <f>P35*Q35</f>
        <v/>
      </c>
      <c r="S35" s="27" t="n">
        <v>4</v>
      </c>
      <c r="T35" s="27" t="inlineStr">
        <is>
          <t>CE-KFK-01</t>
        </is>
      </c>
      <c r="U35" s="28" t="n"/>
      <c r="V35" s="28" t="n"/>
      <c r="W35" s="28" t="inlineStr">
        <is>
          <t>Proposed</t>
        </is>
      </c>
      <c r="X35" s="27">
        <f>IF(P35=5,"Almost Certain",IF(P35=4,"Likely",IF(P35=3,"Possible",IF(P35=2,"Unlikely","Rare"))))</f>
        <v/>
      </c>
      <c r="Y35" s="27">
        <f>IF(R35&gt;=16,"Critical",IF(R35&gt;=9,"High",IF(R35&gt;=4,"Medium","Opportunistic")))</f>
        <v/>
      </c>
    </row>
    <row r="36" ht="32.25" customHeight="1" s="19">
      <c r="A36" s="30" t="inlineStr">
        <is>
          <t>CE-PIPE-01</t>
        </is>
      </c>
      <c r="B36" s="27" t="inlineStr">
        <is>
          <t>Input file late/missing at cutoff</t>
        </is>
      </c>
      <c r="C36" s="27" t="inlineStr">
        <is>
          <t>Pipeline-Recon</t>
        </is>
      </c>
      <c r="D36" s="27" t="inlineStr">
        <is>
          <t>Application</t>
        </is>
      </c>
      <c r="E36" s="27" t="inlineStr">
        <is>
          <t>Recon/pipeline</t>
        </is>
      </c>
      <c r="F36" s="27" t="inlineStr">
        <is>
          <t>DTR + EDX path</t>
        </is>
      </c>
      <c r="G36" s="27" t="inlineStr">
        <is>
          <t>Withhold RDF/ADF/CDF file for one bank past cutoff.</t>
        </is>
      </c>
      <c r="H36" s="27" t="inlineStr">
        <is>
          <t>EventBridge SLA validator detects absence at cutoff and EDX email notification fires (narrative step 2a); recon for other banks proceeds unaffected.</t>
        </is>
      </c>
      <c r="I36" s="27" t="inlineStr">
        <is>
          <t>Custom (withhold in PERF)</t>
        </is>
      </c>
      <c r="J36" s="27" t="inlineStr">
        <is>
          <t>One bank's recon</t>
        </is>
      </c>
      <c r="K36" s="27" t="inlineStr">
        <is>
          <t>Cross-bank impact</t>
        </is>
      </c>
      <c r="L36" s="27" t="inlineStr">
        <is>
          <t>Per-bank isolation proven; notification content actionable.</t>
        </is>
      </c>
      <c r="M36" s="27" t="inlineStr">
        <is>
          <t>SLA-validator alarm + email verified end-to-end.</t>
        </is>
      </c>
      <c r="N36" s="27" t="inlineStr">
        <is>
          <t>High</t>
        </is>
      </c>
      <c r="O36" s="27" t="inlineStr">
        <is>
          <t>Same mechanism as PROD.</t>
        </is>
      </c>
      <c r="P36" s="27" t="n">
        <v>4</v>
      </c>
      <c r="Q36" s="27" t="n">
        <v>4</v>
      </c>
      <c r="R36" s="27">
        <f>P36*Q36</f>
        <v/>
      </c>
      <c r="S36" s="27" t="n">
        <v>1</v>
      </c>
      <c r="T36" s="27" t="n"/>
      <c r="U36" s="28" t="n"/>
      <c r="V36" s="28" t="n"/>
      <c r="W36" s="28" t="inlineStr">
        <is>
          <t>Proposed</t>
        </is>
      </c>
      <c r="X36" s="27">
        <f>IF(P36=5,"Almost Certain",IF(P36=4,"Likely",IF(P36=3,"Possible",IF(P36=2,"Unlikely","Rare"))))</f>
        <v/>
      </c>
      <c r="Y36" s="27">
        <f>IF(R36&gt;=16,"Critical",IF(R36&gt;=9,"High",IF(R36&gt;=4,"Medium","Opportunistic")))</f>
        <v/>
      </c>
    </row>
    <row r="37" ht="32.25" customHeight="1" s="19">
      <c r="A37" s="30" t="inlineStr">
        <is>
          <t>CE-PIPE-02</t>
        </is>
      </c>
      <c r="B37" s="27" t="inlineStr">
        <is>
          <t>Corrupt / malformed input file</t>
        </is>
      </c>
      <c r="C37" s="27" t="inlineStr">
        <is>
          <t>Pipeline-Recon</t>
        </is>
      </c>
      <c r="D37" s="27" t="inlineStr">
        <is>
          <t>Application</t>
        </is>
      </c>
      <c r="E37" s="27" t="inlineStr">
        <is>
          <t>Recon/pipeline</t>
        </is>
      </c>
      <c r="F37" s="27" t="inlineStr">
        <is>
          <t>DTR (Lambda validate/parse)</t>
        </is>
      </c>
      <c r="G37" s="27" t="inlineStr">
        <is>
          <t>Deliver structurally invalid and semantically invalid files.</t>
        </is>
      </c>
      <c r="H37" s="27" t="inlineStr">
        <is>
          <t>Validation Lambda rejects cleanly; rejection reaches Ops/EDX; no partial ingestion poisons downstream SQS.</t>
        </is>
      </c>
      <c r="I37" s="27" t="inlineStr">
        <is>
          <t>Custom file injection</t>
        </is>
      </c>
      <c r="J37" s="27" t="inlineStr">
        <is>
          <t>One file's flow</t>
        </is>
      </c>
      <c r="K37" s="27" t="inlineStr">
        <is>
          <t>Partial ingestion detected</t>
        </is>
      </c>
      <c r="L37" s="27" t="inlineStr">
        <is>
          <t>Reject path + quarantine proven; reprocess-after-fix works.</t>
        </is>
      </c>
      <c r="M37" s="27" t="inlineStr">
        <is>
          <t>Rejection alarmed with file identity.</t>
        </is>
      </c>
      <c r="N37" s="27" t="inlineStr">
        <is>
          <t>High</t>
        </is>
      </c>
      <c r="O37" s="27" t="inlineStr">
        <is>
          <t>—</t>
        </is>
      </c>
      <c r="P37" s="27" t="n">
        <v>4</v>
      </c>
      <c r="Q37" s="27" t="n">
        <v>4</v>
      </c>
      <c r="R37" s="27">
        <f>P37*Q37</f>
        <v/>
      </c>
      <c r="S37" s="27" t="n">
        <v>1</v>
      </c>
      <c r="T37" s="27" t="n"/>
      <c r="U37" s="28" t="n"/>
      <c r="V37" s="28" t="n"/>
      <c r="W37" s="28" t="inlineStr">
        <is>
          <t>Proposed</t>
        </is>
      </c>
      <c r="X37" s="27">
        <f>IF(P37=5,"Almost Certain",IF(P37=4,"Likely",IF(P37=3,"Possible",IF(P37=2,"Unlikely","Rare"))))</f>
        <v/>
      </c>
      <c r="Y37" s="27">
        <f>IF(R37&gt;=16,"Critical",IF(R37&gt;=9,"High",IF(R37&gt;=4,"Medium","Opportunistic")))</f>
        <v/>
      </c>
    </row>
    <row r="38" ht="32.25" customHeight="1" s="19">
      <c r="A38" s="30" t="inlineStr">
        <is>
          <t>CE-PIPE-03</t>
        </is>
      </c>
      <c r="B38" s="27" t="inlineStr">
        <is>
          <t>Duplicate file delivery</t>
        </is>
      </c>
      <c r="C38" s="27" t="inlineStr">
        <is>
          <t>Pipeline-Recon</t>
        </is>
      </c>
      <c r="D38" s="27" t="inlineStr">
        <is>
          <t>Application</t>
        </is>
      </c>
      <c r="E38" s="27" t="inlineStr">
        <is>
          <t>Recon/pipeline</t>
        </is>
      </c>
      <c r="F38" s="27" t="inlineStr">
        <is>
          <t>DTR</t>
        </is>
      </c>
      <c r="G38" s="27" t="inlineStr">
        <is>
          <t>Deliver the same file twice (and same-name-different-content variant).</t>
        </is>
      </c>
      <c r="H38" s="27" t="inlineStr">
        <is>
          <t>Ingestion is idempotent by file identity; no duplicate transaction records enter reconciliation; conflict variant is flagged, not silently overwritten.</t>
        </is>
      </c>
      <c r="I38" s="27" t="inlineStr">
        <is>
          <t>Custom file injection</t>
        </is>
      </c>
      <c r="J38" s="27" t="inlineStr">
        <is>
          <t>One bank's recon</t>
        </is>
      </c>
      <c r="K38" s="27" t="inlineStr">
        <is>
          <t>Duplicate records in recon set</t>
        </is>
      </c>
      <c r="L38" s="27" t="inlineStr">
        <is>
          <t>Dedup keys proven; conflict handling explicit.</t>
        </is>
      </c>
      <c r="M38" s="27" t="inlineStr">
        <is>
          <t>Duplicate-delivery event logged/alarmed.</t>
        </is>
      </c>
      <c r="N38" s="27" t="inlineStr">
        <is>
          <t>High</t>
        </is>
      </c>
      <c r="O38" s="27" t="inlineStr">
        <is>
          <t>—</t>
        </is>
      </c>
      <c r="P38" s="27" t="n">
        <v>3</v>
      </c>
      <c r="Q38" s="27" t="n">
        <v>4</v>
      </c>
      <c r="R38" s="27">
        <f>P38*Q38</f>
        <v/>
      </c>
      <c r="S38" s="27" t="n">
        <v>1</v>
      </c>
      <c r="T38" s="27" t="n"/>
      <c r="U38" s="28" t="n"/>
      <c r="V38" s="28" t="n"/>
      <c r="W38" s="28" t="inlineStr">
        <is>
          <t>Proposed</t>
        </is>
      </c>
      <c r="X38" s="27">
        <f>IF(P38=5,"Almost Certain",IF(P38=4,"Likely",IF(P38=3,"Possible",IF(P38=2,"Unlikely","Rare"))))</f>
        <v/>
      </c>
      <c r="Y38" s="27">
        <f>IF(R38&gt;=16,"Critical",IF(R38&gt;=9,"High",IF(R38&gt;=4,"Medium","Opportunistic")))</f>
        <v/>
      </c>
    </row>
    <row r="39" ht="32.25" customHeight="1" s="19">
      <c r="A39" s="30" t="inlineStr">
        <is>
          <t>CE-PIPE-04</t>
        </is>
      </c>
      <c r="B39" s="27" t="inlineStr">
        <is>
          <t>Lambda throttling on large-file day</t>
        </is>
      </c>
      <c r="C39" s="27" t="inlineStr">
        <is>
          <t>Pipeline-Recon</t>
        </is>
      </c>
      <c r="D39" s="27" t="inlineStr">
        <is>
          <t>Infrastructure</t>
        </is>
      </c>
      <c r="E39" s="27" t="inlineStr">
        <is>
          <t>Recon/pipeline</t>
        </is>
      </c>
      <c r="F39" s="27" t="inlineStr">
        <is>
          <t>DTR chunking Lambda</t>
        </is>
      </c>
      <c r="G39" s="27" t="inlineStr">
        <is>
          <t>Lower reserved concurrency in PERF + inject peak-size file set.</t>
        </is>
      </c>
      <c r="H39" s="27" t="inlineStr">
        <is>
          <t>Throttled invocations retry via SQS without loss or duplication of chunks; end-to-end completes within window at degraded rate.</t>
        </is>
      </c>
      <c r="I39" s="27" t="inlineStr">
        <is>
          <t>Custom (concurrency limit)</t>
        </is>
      </c>
      <c r="J39" s="27" t="inlineStr">
        <is>
          <t>Chunking stage</t>
        </is>
      </c>
      <c r="K39" s="27" t="inlineStr">
        <is>
          <t>Chunk loss or duplication</t>
        </is>
      </c>
      <c r="L39" s="27" t="inlineStr">
        <is>
          <t>Exactly-once chunk effects; window math validated for peak day.</t>
        </is>
      </c>
      <c r="M39" s="27" t="inlineStr">
        <is>
          <t>Throttle + queue-age alarms fire before SLA risk.</t>
        </is>
      </c>
      <c r="N39" s="27" t="inlineStr">
        <is>
          <t>Medium</t>
        </is>
      </c>
      <c r="O39" s="27" t="inlineStr">
        <is>
          <t>PERF file volumes smaller — use synthetic peak set.</t>
        </is>
      </c>
      <c r="P39" s="27" t="n">
        <v>3</v>
      </c>
      <c r="Q39" s="27" t="n">
        <v>4</v>
      </c>
      <c r="R39" s="27">
        <f>P39*Q39</f>
        <v/>
      </c>
      <c r="S39" s="27" t="n">
        <v>2</v>
      </c>
      <c r="T39" s="27" t="n"/>
      <c r="U39" s="28" t="n"/>
      <c r="V39" s="28" t="n"/>
      <c r="W39" s="28" t="inlineStr">
        <is>
          <t>Proposed</t>
        </is>
      </c>
      <c r="X39" s="27">
        <f>IF(P39=5,"Almost Certain",IF(P39=4,"Likely",IF(P39=3,"Possible",IF(P39=2,"Unlikely","Rare"))))</f>
        <v/>
      </c>
      <c r="Y39" s="27">
        <f>IF(R39&gt;=16,"Critical",IF(R39&gt;=9,"High",IF(R39&gt;=4,"Medium","Opportunistic")))</f>
        <v/>
      </c>
    </row>
    <row r="40" ht="32.25" customHeight="1" s="19">
      <c r="A40" s="30" t="inlineStr">
        <is>
          <t>CE-PIPE-05</t>
        </is>
      </c>
      <c r="B40" s="27" t="inlineStr">
        <is>
          <t>SQS DLQ + redrive validation</t>
        </is>
      </c>
      <c r="C40" s="27" t="inlineStr">
        <is>
          <t>Pipeline-Recon</t>
        </is>
      </c>
      <c r="D40" s="27" t="inlineStr">
        <is>
          <t>Infrastructure</t>
        </is>
      </c>
      <c r="E40" s="27" t="inlineStr">
        <is>
          <t>Recon/pipeline</t>
        </is>
      </c>
      <c r="F40" s="27" t="inlineStr">
        <is>
          <t>DTR queues (+ DCM weekly-job queue)</t>
        </is>
      </c>
      <c r="G40" s="27" t="inlineStr">
        <is>
          <t>Force message processing failures to exhaust receive count.</t>
        </is>
      </c>
      <c r="H40" s="27" t="inlineStr">
        <is>
          <t>Messages land in DLQ (not lost, not infinitely retried); redrive procedure restores processing without duplication.</t>
        </is>
      </c>
      <c r="I40" s="27" t="inlineStr">
        <is>
          <t>Custom (failure injection)</t>
        </is>
      </c>
      <c r="J40" s="27" t="inlineStr">
        <is>
          <t>One queue</t>
        </is>
      </c>
      <c r="K40" s="27" t="inlineStr">
        <is>
          <t>Message loss</t>
        </is>
      </c>
      <c r="L40" s="27" t="inlineStr">
        <is>
          <t>maxReceiveCount/visibility tuned; redrive runbook proven.</t>
        </is>
      </c>
      <c r="M40" s="27" t="inlineStr">
        <is>
          <t>DLQ depth alarm fires at first message.</t>
        </is>
      </c>
      <c r="N40" s="27" t="inlineStr">
        <is>
          <t>High</t>
        </is>
      </c>
      <c r="O40" s="27" t="inlineStr">
        <is>
          <t>—</t>
        </is>
      </c>
      <c r="P40" s="27" t="n">
        <v>3</v>
      </c>
      <c r="Q40" s="27" t="n">
        <v>4</v>
      </c>
      <c r="R40" s="27">
        <f>P40*Q40</f>
        <v/>
      </c>
      <c r="S40" s="27" t="n">
        <v>1</v>
      </c>
      <c r="T40" s="27" t="n"/>
      <c r="U40" s="28" t="n"/>
      <c r="V40" s="28" t="n"/>
      <c r="W40" s="28" t="inlineStr">
        <is>
          <t>Proposed</t>
        </is>
      </c>
      <c r="X40" s="27">
        <f>IF(P40=5,"Almost Certain",IF(P40=4,"Likely",IF(P40=3,"Possible",IF(P40=2,"Unlikely","Rare"))))</f>
        <v/>
      </c>
      <c r="Y40" s="27">
        <f>IF(R40&gt;=16,"Critical",IF(R40&gt;=9,"High",IF(R40&gt;=4,"Medium","Opportunistic")))</f>
        <v/>
      </c>
    </row>
    <row r="41" ht="32.25" customHeight="1" s="19">
      <c r="A41" s="30" t="inlineStr">
        <is>
          <t>CE-PIPE-06</t>
        </is>
      </c>
      <c r="B41" s="27" t="inlineStr">
        <is>
          <t>Dual-trigger failure A: files present, CBS EOD event absent</t>
        </is>
      </c>
      <c r="C41" s="27" t="inlineStr">
        <is>
          <t>Pipeline-Recon</t>
        </is>
      </c>
      <c r="D41" s="27" t="inlineStr">
        <is>
          <t>Application</t>
        </is>
      </c>
      <c r="E41" s="27" t="inlineStr">
        <is>
          <t>Recon/pipeline</t>
        </is>
      </c>
      <c r="F41" s="27" t="inlineStr">
        <is>
          <t>DTR</t>
        </is>
      </c>
      <c r="G41" s="27" t="inlineStr">
        <is>
          <t>Deliver files normally; suppress CBS EOD Completion event.</t>
        </is>
      </c>
      <c r="H41" s="27" t="inlineStr">
        <is>
          <t>Recon does NOT start on partial trigger; absence is detected against a deadline; defined recovery (manual trigger / EOD API poll) exists and works.</t>
        </is>
      </c>
      <c r="I41" s="27" t="inlineStr">
        <is>
          <t>Custom (event suppression PERF)</t>
        </is>
      </c>
      <c r="J41" s="27" t="inlineStr">
        <is>
          <t>EOD recon</t>
        </is>
      </c>
      <c r="K41" s="27" t="inlineStr">
        <is>
          <t>Recon starts on partial data</t>
        </is>
      </c>
      <c r="L41" s="27" t="inlineStr">
        <is>
          <t>No premature recon; deadline detection + recovery path proven.</t>
        </is>
      </c>
      <c r="M41" s="27" t="inlineStr">
        <is>
          <t>EOD-event-absence alarm with time semantics (suspected gap — narrative silent on this).</t>
        </is>
      </c>
      <c r="N41" s="27" t="inlineStr">
        <is>
          <t>High</t>
        </is>
      </c>
      <c r="O41" s="27" t="inlineStr">
        <is>
          <t>Design-gap probe — likely FINDING.</t>
        </is>
      </c>
      <c r="P41" s="27" t="n">
        <v>3</v>
      </c>
      <c r="Q41" s="27" t="n">
        <v>5</v>
      </c>
      <c r="R41" s="27">
        <f>P41*Q41</f>
        <v/>
      </c>
      <c r="S41" s="27" t="n">
        <v>1</v>
      </c>
      <c r="T41" s="27" t="n"/>
      <c r="U41" s="28" t="n"/>
      <c r="V41" s="28" t="n"/>
      <c r="W41" s="28" t="inlineStr">
        <is>
          <t>Proposed</t>
        </is>
      </c>
      <c r="X41" s="27">
        <f>IF(P41=5,"Almost Certain",IF(P41=4,"Likely",IF(P41=3,"Possible",IF(P41=2,"Unlikely","Rare"))))</f>
        <v/>
      </c>
      <c r="Y41" s="27">
        <f>IF(R41&gt;=16,"Critical",IF(R41&gt;=9,"High",IF(R41&gt;=4,"Medium","Opportunistic")))</f>
        <v/>
      </c>
    </row>
    <row r="42" ht="32.25" customHeight="1" s="19">
      <c r="A42" s="30" t="inlineStr">
        <is>
          <t>CE-PIPE-07</t>
        </is>
      </c>
      <c r="B42" s="27" t="inlineStr">
        <is>
          <t>Dual-trigger failure B: EOD event present, files absent</t>
        </is>
      </c>
      <c r="C42" s="27" t="inlineStr">
        <is>
          <t>Pipeline-Recon</t>
        </is>
      </c>
      <c r="D42" s="27" t="inlineStr">
        <is>
          <t>Application</t>
        </is>
      </c>
      <c r="E42" s="27" t="inlineStr">
        <is>
          <t>Recon/pipeline</t>
        </is>
      </c>
      <c r="F42" s="27" t="inlineStr">
        <is>
          <t>DTR</t>
        </is>
      </c>
      <c r="G42" s="27" t="inlineStr">
        <is>
          <t>Publish EOD event; withhold files.</t>
        </is>
      </c>
      <c r="H42" s="27" t="inlineStr">
        <is>
          <t>Recon waits for file leg per step-4a note; combined absence handling matches PIPE-01 path; no empty-set recon marked successful.</t>
        </is>
      </c>
      <c r="I42" s="27" t="inlineStr">
        <is>
          <t>Custom</t>
        </is>
      </c>
      <c r="J42" s="27" t="inlineStr">
        <is>
          <t>EOD recon</t>
        </is>
      </c>
      <c r="K42" s="27" t="inlineStr">
        <is>
          <t>Recon 'succeeds' on empty set</t>
        </is>
      </c>
      <c r="L42" s="27" t="inlineStr">
        <is>
          <t>No false recon-success; Acct Closure event (step 9) NOT published for unreconciled day.</t>
        </is>
      </c>
      <c r="M42" s="27" t="inlineStr">
        <is>
          <t>False-success guard alarmed.</t>
        </is>
      </c>
      <c r="N42" s="27" t="inlineStr">
        <is>
          <t>High</t>
        </is>
      </c>
      <c r="O42" s="27" t="inlineStr">
        <is>
          <t>—</t>
        </is>
      </c>
      <c r="P42" s="27" t="n">
        <v>3</v>
      </c>
      <c r="Q42" s="27" t="n">
        <v>5</v>
      </c>
      <c r="R42" s="27">
        <f>P42*Q42</f>
        <v/>
      </c>
      <c r="S42" s="27" t="n">
        <v>1</v>
      </c>
      <c r="T42" s="27" t="inlineStr">
        <is>
          <t>CE-PIPE-01</t>
        </is>
      </c>
      <c r="U42" s="28" t="n"/>
      <c r="V42" s="28" t="n"/>
      <c r="W42" s="28" t="inlineStr">
        <is>
          <t>Proposed</t>
        </is>
      </c>
      <c r="X42" s="27">
        <f>IF(P42=5,"Almost Certain",IF(P42=4,"Likely",IF(P42=3,"Possible",IF(P42=2,"Unlikely","Rare"))))</f>
        <v/>
      </c>
      <c r="Y42" s="27">
        <f>IF(R42&gt;=16,"Critical",IF(R42&gt;=9,"High",IF(R42&gt;=4,"Medium","Opportunistic")))</f>
        <v/>
      </c>
    </row>
    <row r="43" ht="32.25" customHeight="1" s="19">
      <c r="A43" s="30" t="inlineStr">
        <is>
          <t>CE-PIPE-08</t>
        </is>
      </c>
      <c r="B43" s="27" t="inlineStr">
        <is>
          <t>SLA-validator scheduler misfire / double-fire</t>
        </is>
      </c>
      <c r="C43" s="27" t="inlineStr">
        <is>
          <t>Pipeline-Recon</t>
        </is>
      </c>
      <c r="D43" s="27" t="inlineStr">
        <is>
          <t>Infrastructure</t>
        </is>
      </c>
      <c r="E43" s="27" t="inlineStr">
        <is>
          <t>Recon/pipeline</t>
        </is>
      </c>
      <c r="F43" s="27" t="inlineStr">
        <is>
          <t>DTR EventBridge</t>
        </is>
      </c>
      <c r="G43" s="27" t="inlineStr">
        <is>
          <t>Disable rule for one window; separately duplicate-trigger it.</t>
        </is>
      </c>
      <c r="H43" s="27" t="inlineStr">
        <is>
          <t>Missed validation window is itself detected (who watches the watcher); double-fire causes no duplicate notifications/side-effects.</t>
        </is>
      </c>
      <c r="I43" s="27" t="inlineStr">
        <is>
          <t>Custom (rule manipulation PERF)</t>
        </is>
      </c>
      <c r="J43" s="27" t="inlineStr">
        <is>
          <t>SLA validation</t>
        </is>
      </c>
      <c r="K43" s="27" t="inlineStr">
        <is>
          <t>n/a</t>
        </is>
      </c>
      <c r="L43" s="27" t="inlineStr">
        <is>
          <t>Validator idempotent; meta-monitoring exists or gap logged.</t>
        </is>
      </c>
      <c r="M43" s="27" t="inlineStr">
        <is>
          <t>Scheduler failure visibility (suspected gap).</t>
        </is>
      </c>
      <c r="N43" s="27" t="inlineStr">
        <is>
          <t>High</t>
        </is>
      </c>
      <c r="O43" s="27" t="inlineStr">
        <is>
          <t>—</t>
        </is>
      </c>
      <c r="P43" s="27" t="n">
        <v>2</v>
      </c>
      <c r="Q43" s="27" t="n">
        <v>4</v>
      </c>
      <c r="R43" s="27">
        <f>P43*Q43</f>
        <v/>
      </c>
      <c r="S43" s="27" t="n">
        <v>2</v>
      </c>
      <c r="T43" s="27" t="n"/>
      <c r="U43" s="28" t="n"/>
      <c r="V43" s="28" t="n"/>
      <c r="W43" s="28" t="inlineStr">
        <is>
          <t>Proposed</t>
        </is>
      </c>
      <c r="X43" s="27">
        <f>IF(P43=5,"Almost Certain",IF(P43=4,"Likely",IF(P43=3,"Possible",IF(P43=2,"Unlikely","Rare"))))</f>
        <v/>
      </c>
      <c r="Y43" s="27">
        <f>IF(R43&gt;=16,"Critical",IF(R43&gt;=9,"High",IF(R43&gt;=4,"Medium","Opportunistic")))</f>
        <v/>
      </c>
    </row>
    <row r="44" ht="21.75" customHeight="1" s="19">
      <c r="A44" s="30" t="inlineStr">
        <is>
          <t>CE-PIPE-09</t>
        </is>
      </c>
      <c r="B44" s="27" t="inlineStr">
        <is>
          <t>S3 recon-bucket unavailability / latency</t>
        </is>
      </c>
      <c r="C44" s="27" t="inlineStr">
        <is>
          <t>Pipeline-Recon</t>
        </is>
      </c>
      <c r="D44" s="27" t="inlineStr">
        <is>
          <t>Infrastructure</t>
        </is>
      </c>
      <c r="E44" s="27" t="inlineStr">
        <is>
          <t>Recon/pipeline</t>
        </is>
      </c>
      <c r="F44" s="27" t="inlineStr">
        <is>
          <t>DTR buckets</t>
        </is>
      </c>
      <c r="G44" s="27" t="inlineStr">
        <is>
          <t>Deny bucket access mid-pipeline (PERF bucket policy).</t>
        </is>
      </c>
      <c r="H44" s="27" t="inlineStr">
        <is>
          <t>Each stage fails visibly and resumes idempotently on restore; ack/anomaly file writes are not silently skipped.</t>
        </is>
      </c>
      <c r="I44" s="27" t="inlineStr">
        <is>
          <t>Custom (bucket policy)</t>
        </is>
      </c>
      <c r="J44" s="27" t="inlineStr">
        <is>
          <t>Recon storage</t>
        </is>
      </c>
      <c r="K44" s="27" t="inlineStr">
        <is>
          <t>Silent skip of outputs</t>
        </is>
      </c>
      <c r="L44" s="27" t="inlineStr">
        <is>
          <t>Stage-level retry/resume proven.</t>
        </is>
      </c>
      <c r="M44" s="27" t="inlineStr">
        <is>
          <t>S3 access errors alarmed per stage.</t>
        </is>
      </c>
      <c r="N44" s="27" t="inlineStr">
        <is>
          <t>High</t>
        </is>
      </c>
      <c r="O44" s="27" t="inlineStr">
        <is>
          <t>—</t>
        </is>
      </c>
      <c r="P44" s="27" t="n">
        <v>2</v>
      </c>
      <c r="Q44" s="27" t="n">
        <v>4</v>
      </c>
      <c r="R44" s="27">
        <f>P44*Q44</f>
        <v/>
      </c>
      <c r="S44" s="27" t="n">
        <v>2</v>
      </c>
      <c r="T44" s="27" t="n"/>
      <c r="U44" s="28" t="n"/>
      <c r="V44" s="28" t="n"/>
      <c r="W44" s="28" t="inlineStr">
        <is>
          <t>Proposed</t>
        </is>
      </c>
      <c r="X44" s="27">
        <f>IF(P44=5,"Almost Certain",IF(P44=4,"Likely",IF(P44=3,"Possible",IF(P44=2,"Unlikely","Rare"))))</f>
        <v/>
      </c>
      <c r="Y44" s="27">
        <f>IF(R44&gt;=16,"Critical",IF(R44&gt;=9,"High",IF(R44&gt;=4,"Medium","Opportunistic")))</f>
        <v/>
      </c>
    </row>
    <row r="45" ht="32.25" customHeight="1" s="19">
      <c r="A45" s="30" t="inlineStr">
        <is>
          <t>CE-PIPE-10</t>
        </is>
      </c>
      <c r="B45" s="27" t="inlineStr">
        <is>
          <t>Recon abort mid-run → restart idempotency</t>
        </is>
      </c>
      <c r="C45" s="27" t="inlineStr">
        <is>
          <t>Pipeline-Recon</t>
        </is>
      </c>
      <c r="D45" s="27" t="inlineStr">
        <is>
          <t>Application</t>
        </is>
      </c>
      <c r="E45" s="27" t="inlineStr">
        <is>
          <t>Recon/pipeline</t>
        </is>
      </c>
      <c r="F45" s="27" t="inlineStr">
        <is>
          <t>DTR</t>
        </is>
      </c>
      <c r="G45" s="27" t="inlineStr">
        <is>
          <t>Kill recon service at defined checkpoints incl. AFTER some Posting-API corrections have been sent.</t>
        </is>
      </c>
      <c r="H45" s="27" t="inlineStr">
        <is>
          <t>Restart produces exactly-once EFFECTS: no duplicate posting corrections, no re-sent Acct-Closure/Recon events, resumable from checkpoint.</t>
        </is>
      </c>
      <c r="I45" s="27" t="inlineStr">
        <is>
          <t>FIS stop-task + checkpoint timing</t>
        </is>
      </c>
      <c r="J45" s="27" t="inlineStr">
        <is>
          <t>Recon run + CBS postings</t>
        </is>
      </c>
      <c r="K45" s="27" t="inlineStr">
        <is>
          <t>Any duplicate posting correction</t>
        </is>
      </c>
      <c r="L45" s="27" t="inlineStr">
        <is>
          <t>Exactly-once effects proven at every checkpoint — the single highest-integrity-risk scenario in the catalog.</t>
        </is>
      </c>
      <c r="M45" s="27" t="inlineStr">
        <is>
          <t>Partial-run state visible to Ops.</t>
        </is>
      </c>
      <c r="N45" s="27" t="inlineStr">
        <is>
          <t>High</t>
        </is>
      </c>
      <c r="O45" s="27" t="inlineStr">
        <is>
          <t>Logic-level; PERF CBS dedicated instance receives corrections — confirm reversibility.</t>
        </is>
      </c>
      <c r="P45" s="27" t="n">
        <v>3</v>
      </c>
      <c r="Q45" s="27" t="n">
        <v>5</v>
      </c>
      <c r="R45" s="27">
        <f>P45*Q45</f>
        <v/>
      </c>
      <c r="S45" s="27" t="n">
        <v>1</v>
      </c>
      <c r="T45" s="27" t="n"/>
      <c r="U45" s="28" t="n"/>
      <c r="V45" s="28" t="n"/>
      <c r="W45" s="28" t="inlineStr">
        <is>
          <t>Proposed</t>
        </is>
      </c>
      <c r="X45" s="27">
        <f>IF(P45=5,"Almost Certain",IF(P45=4,"Likely",IF(P45=3,"Possible",IF(P45=2,"Unlikely","Rare"))))</f>
        <v/>
      </c>
      <c r="Y45" s="27">
        <f>IF(R45&gt;=16,"Critical",IF(R45&gt;=9,"High",IF(R45&gt;=4,"Medium","Opportunistic")))</f>
        <v/>
      </c>
    </row>
    <row r="46" ht="32.25" customHeight="1" s="19">
      <c r="A46" s="30" t="inlineStr">
        <is>
          <t>CE-PIPE-11</t>
        </is>
      </c>
      <c r="B46" s="27" t="inlineStr">
        <is>
          <t>Forced cutoff-mismatch → TransactionInquiry SOR fallback</t>
        </is>
      </c>
      <c r="C46" s="27" t="inlineStr">
        <is>
          <t>Pipeline-Recon</t>
        </is>
      </c>
      <c r="D46" s="27" t="inlineStr">
        <is>
          <t>Application</t>
        </is>
      </c>
      <c r="E46" s="27" t="inlineStr">
        <is>
          <t>Recon/pipeline</t>
        </is>
      </c>
      <c r="F46" s="27" t="inlineStr">
        <is>
          <t>DTR + Core Transaction Svc</t>
        </is>
      </c>
      <c r="G46" s="27" t="inlineStr">
        <is>
          <t>Engineer EOD dataset gaps so lookups miss (LCDP/CBS cutoff skew per narrative 5a).</t>
        </is>
      </c>
      <c r="H46" s="27" t="inlineStr">
        <is>
          <t>Fallback to Core TransactionInquiry engages per design; result parity with primary path; fallback latency doesn't blow the window.</t>
        </is>
      </c>
      <c r="I46" s="27" t="inlineStr">
        <is>
          <t>Custom dataset manipulation</t>
        </is>
      </c>
      <c r="J46" s="27" t="inlineStr">
        <is>
          <t>Recon matching</t>
        </is>
      </c>
      <c r="K46" s="27" t="inlineStr">
        <is>
          <t>Mismatch mis-posted</t>
        </is>
      </c>
      <c r="L46" s="27" t="inlineStr">
        <is>
          <t>Fallback correctness + performance measured.</t>
        </is>
      </c>
      <c r="M46" s="27" t="inlineStr">
        <is>
          <t>Fallback-rate metric exists (leading indicator of cutoff drift).</t>
        </is>
      </c>
      <c r="N46" s="27" t="inlineStr">
        <is>
          <t>High</t>
        </is>
      </c>
      <c r="O46" s="27" t="inlineStr">
        <is>
          <t>—</t>
        </is>
      </c>
      <c r="P46" s="27" t="n">
        <v>3</v>
      </c>
      <c r="Q46" s="27" t="n">
        <v>4</v>
      </c>
      <c r="R46" s="27">
        <f>P46*Q46</f>
        <v/>
      </c>
      <c r="S46" s="27" t="n">
        <v>2</v>
      </c>
      <c r="T46" s="27" t="inlineStr">
        <is>
          <t>CE-PIPE-10</t>
        </is>
      </c>
      <c r="U46" s="28" t="n"/>
      <c r="V46" s="28" t="n"/>
      <c r="W46" s="28" t="inlineStr">
        <is>
          <t>Proposed</t>
        </is>
      </c>
      <c r="X46" s="27">
        <f>IF(P46=5,"Almost Certain",IF(P46=4,"Likely",IF(P46=3,"Possible",IF(P46=2,"Unlikely","Rare"))))</f>
        <v/>
      </c>
      <c r="Y46" s="27">
        <f>IF(R46&gt;=16,"Critical",IF(R46&gt;=9,"High",IF(R46&gt;=4,"Medium","Opportunistic")))</f>
        <v/>
      </c>
    </row>
    <row r="47" ht="32.25" customHeight="1" s="19">
      <c r="A47" s="30" t="inlineStr">
        <is>
          <t>CE-NET-01</t>
        </is>
      </c>
      <c r="B47" s="27" t="inlineStr">
        <is>
          <t>Inter-service latency / packet-loss injection</t>
        </is>
      </c>
      <c r="C47" s="27" t="inlineStr">
        <is>
          <t>Network</t>
        </is>
      </c>
      <c r="D47" s="27" t="inlineStr">
        <is>
          <t>Infrastructure</t>
        </is>
      </c>
      <c r="E47" s="27" t="inlineStr">
        <is>
          <t>Sync API</t>
        </is>
      </c>
      <c r="F47" s="27" t="inlineStr">
        <is>
          <t>Service pairs on critical path</t>
        </is>
      </c>
      <c r="G47" s="27" t="inlineStr">
        <is>
          <t>FIS network latency/loss actions on Fargate tasks (requires fault-injection endpoints + pidMode:task — availability TBC, Open Items).</t>
        </is>
      </c>
      <c r="H47" s="27" t="inlineStr">
        <is>
          <t>Latency propagates per timeout chain, not as hangs; loss triggers retries within budget without amplification.</t>
        </is>
      </c>
      <c r="I47" s="27" t="inlineStr">
        <is>
          <t>FIS network actions (TBC) / fallback tc-sidecar</t>
        </is>
      </c>
      <c r="J47" s="27" t="inlineStr">
        <is>
          <t>Selected pairs</t>
        </is>
      </c>
      <c r="K47" s="27" t="inlineStr">
        <is>
          <t>SLI breach</t>
        </is>
      </c>
      <c r="L47" s="27" t="inlineStr">
        <is>
          <t>Degradation graceful and bounded.</t>
        </is>
      </c>
      <c r="M47" s="27" t="inlineStr">
        <is>
          <t>Latency SLIs per hop visible in Dynatrace.</t>
        </is>
      </c>
      <c r="N47" s="27" t="inlineStr">
        <is>
          <t>High</t>
        </is>
      </c>
      <c r="O47" s="27" t="inlineStr">
        <is>
          <t>—</t>
        </is>
      </c>
      <c r="P47" s="27" t="n">
        <v>3</v>
      </c>
      <c r="Q47" s="27" t="n">
        <v>4</v>
      </c>
      <c r="R47" s="27">
        <f>P47*Q47</f>
        <v/>
      </c>
      <c r="S47" s="27" t="n">
        <v>2</v>
      </c>
      <c r="T47" s="27" t="inlineStr">
        <is>
          <t>CE-EDGE-01</t>
        </is>
      </c>
      <c r="U47" s="28" t="n"/>
      <c r="V47" s="28" t="n"/>
      <c r="W47" s="28" t="inlineStr">
        <is>
          <t>Proposed</t>
        </is>
      </c>
      <c r="X47" s="27">
        <f>IF(P47=5,"Almost Certain",IF(P47=4,"Likely",IF(P47=3,"Possible",IF(P47=2,"Unlikely","Rare"))))</f>
        <v/>
      </c>
      <c r="Y47" s="27">
        <f>IF(R47&gt;=16,"Critical",IF(R47&gt;=9,"High",IF(R47&gt;=4,"Medium","Opportunistic")))</f>
        <v/>
      </c>
    </row>
    <row r="48" ht="32.25" customHeight="1" s="19">
      <c r="A48" s="30" t="inlineStr">
        <is>
          <t>CE-NET-02</t>
        </is>
      </c>
      <c r="B48" s="27" t="inlineStr">
        <is>
          <t>AZ impairment</t>
        </is>
      </c>
      <c r="C48" s="27" t="inlineStr">
        <is>
          <t>Network</t>
        </is>
      </c>
      <c r="D48" s="27" t="inlineStr">
        <is>
          <t>Infrastructure</t>
        </is>
      </c>
      <c r="E48" s="27" t="inlineStr">
        <is>
          <t>All in-region</t>
        </is>
      </c>
      <c r="F48" s="27" t="inlineStr">
        <is>
          <t>One AZ's subnets</t>
        </is>
      </c>
      <c r="G48" s="27" t="inlineStr">
        <is>
          <t>Blackhole one AZ (FIS network blackhole / NACL).</t>
        </is>
      </c>
      <c r="H48" s="27" t="inlineStr">
        <is>
          <t>Multi-AZ placement absorbs loss: ALB routes around, ECS reschedules, Aurora AZ redundancy holds; capacity floor per service ≥ requirement at N-1 AZ.</t>
        </is>
      </c>
      <c r="I48" s="27" t="inlineStr">
        <is>
          <t>FIS / custom NACL</t>
        </is>
      </c>
      <c r="J48" s="27" t="inlineStr">
        <is>
          <t>One AZ</t>
        </is>
      </c>
      <c r="K48" s="27" t="inlineStr">
        <is>
          <t>Any single-AZ SPOF found</t>
        </is>
      </c>
      <c r="L48" s="27" t="inlineStr">
        <is>
          <t>No service loses quorum/capacity below SLO; SPOFs enumerated if found.</t>
        </is>
      </c>
      <c r="M48" s="27" t="inlineStr">
        <is>
          <t>AZ-level health visible; alarms not double-firing per task.</t>
        </is>
      </c>
      <c r="N48" s="27" t="inlineStr">
        <is>
          <t>Medium</t>
        </is>
      </c>
      <c r="O48" s="27" t="inlineStr">
        <is>
          <t>PERF AZ spread/capacity parity TBD.</t>
        </is>
      </c>
      <c r="P48" s="27" t="n">
        <v>2</v>
      </c>
      <c r="Q48" s="27" t="n">
        <v>5</v>
      </c>
      <c r="R48" s="27">
        <f>P48*Q48</f>
        <v/>
      </c>
      <c r="S48" s="27" t="n">
        <v>2</v>
      </c>
      <c r="T48" s="27" t="inlineStr">
        <is>
          <t>CE-COM-02</t>
        </is>
      </c>
      <c r="U48" s="28" t="n"/>
      <c r="V48" s="28" t="n"/>
      <c r="W48" s="28" t="inlineStr">
        <is>
          <t>Proposed</t>
        </is>
      </c>
      <c r="X48" s="27">
        <f>IF(P48=5,"Almost Certain",IF(P48=4,"Likely",IF(P48=3,"Possible",IF(P48=2,"Unlikely","Rare"))))</f>
        <v/>
      </c>
      <c r="Y48" s="27">
        <f>IF(R48&gt;=16,"Critical",IF(R48&gt;=9,"High",IF(R48&gt;=4,"Medium","Opportunistic")))</f>
        <v/>
      </c>
    </row>
    <row r="49" ht="42.75" customHeight="1" s="19">
      <c r="A49" s="30" t="inlineStr">
        <is>
          <t>CE-NET-03</t>
        </is>
      </c>
      <c r="B49" s="27" t="inlineStr">
        <is>
          <t>On-prem path loss (DX) — MBUS / GKP / on-prem API GW</t>
        </is>
      </c>
      <c r="C49" s="27" t="inlineStr">
        <is>
          <t>Network</t>
        </is>
      </c>
      <c r="D49" s="27" t="inlineStr">
        <is>
          <t>Infrastructure</t>
        </is>
      </c>
      <c r="E49" s="27" t="inlineStr">
        <is>
          <t>Cross-cutting</t>
        </is>
      </c>
      <c r="F49" s="27" t="inlineStr">
        <is>
          <t>MBUS clients, TE (GKP via Envoy), MCC (on-prem API GW)</t>
        </is>
      </c>
      <c r="G49" s="27" t="inlineStr">
        <is>
          <t>Blackhole on-prem-bound routes.</t>
        </is>
      </c>
      <c r="H49" s="27" t="inlineStr">
        <is>
          <t>Each on-prem dependency fails per its class: Kafka per KFK-01; TE's GKP calls fail fast with degraded UX; MCC serves from local store/S3 config without on-prem GW.</t>
        </is>
      </c>
      <c r="I49" s="27" t="inlineStr">
        <is>
          <t>Custom (route blackhole PERF)</t>
        </is>
      </c>
      <c r="J49" s="27" t="inlineStr">
        <is>
          <t>All on-prem traffic</t>
        </is>
      </c>
      <c r="K49" s="27" t="inlineStr">
        <is>
          <t>TE hard-down</t>
        </is>
      </c>
      <c r="L49" s="27" t="inlineStr">
        <is>
          <t>Blast radius of DX loss fully mapped — key DR planning input.</t>
        </is>
      </c>
      <c r="M49" s="27" t="inlineStr">
        <is>
          <t>DX-path health alarmed as a NAMED failure domain (suspected gap).</t>
        </is>
      </c>
      <c r="N49" s="27" t="inlineStr">
        <is>
          <t>High</t>
        </is>
      </c>
      <c r="O49" s="27" t="inlineStr">
        <is>
          <t>Same failure class as PROD DX loss.</t>
        </is>
      </c>
      <c r="P49" s="27" t="n">
        <v>2</v>
      </c>
      <c r="Q49" s="27" t="n">
        <v>5</v>
      </c>
      <c r="R49" s="27">
        <f>P49*Q49</f>
        <v/>
      </c>
      <c r="S49" s="27" t="n">
        <v>2</v>
      </c>
      <c r="T49" s="27" t="inlineStr">
        <is>
          <t>CE-KFK-01</t>
        </is>
      </c>
      <c r="U49" s="28" t="n"/>
      <c r="V49" s="28" t="n"/>
      <c r="W49" s="28" t="inlineStr">
        <is>
          <t>Proposed</t>
        </is>
      </c>
      <c r="X49" s="27">
        <f>IF(P49=5,"Almost Certain",IF(P49=4,"Likely",IF(P49=3,"Possible",IF(P49=2,"Unlikely","Rare"))))</f>
        <v/>
      </c>
      <c r="Y49" s="27">
        <f>IF(R49&gt;=16,"Critical",IF(R49&gt;=9,"High",IF(R49&gt;=4,"Medium","Opportunistic")))</f>
        <v/>
      </c>
    </row>
    <row r="50" ht="21.75" customHeight="1" s="19">
      <c r="A50" s="30" t="inlineStr">
        <is>
          <t>CE-NET-04</t>
        </is>
      </c>
      <c r="B50" s="27" t="inlineStr">
        <is>
          <t>VPC endpoint (PrivateLink) failure</t>
        </is>
      </c>
      <c r="C50" s="27" t="inlineStr">
        <is>
          <t>Network</t>
        </is>
      </c>
      <c r="D50" s="27" t="inlineStr">
        <is>
          <t>Infrastructure</t>
        </is>
      </c>
      <c r="E50" s="27" t="inlineStr">
        <is>
          <t>All</t>
        </is>
      </c>
      <c r="F50" s="27" t="inlineStr">
        <is>
          <t>AWS service endpoints (TBC applicability)</t>
        </is>
      </c>
      <c r="G50" s="27" t="inlineStr">
        <is>
          <t>Remove/deny a VPC endpoint used for AWS service access.</t>
        </is>
      </c>
      <c r="H50" s="27" t="inlineStr">
        <is>
          <t>SDK calls fail visibly (no long hangs); dependency on each endpoint enumerated.</t>
        </is>
      </c>
      <c r="I50" s="27" t="inlineStr">
        <is>
          <t>Custom (endpoint policy)</t>
        </is>
      </c>
      <c r="J50" s="27" t="inlineStr">
        <is>
          <t>Per endpoint</t>
        </is>
      </c>
      <c r="K50" s="27" t="inlineStr">
        <is>
          <t>Hangs beyond timeout</t>
        </is>
      </c>
      <c r="L50" s="27" t="inlineStr">
        <is>
          <t>Endpoint dependency map produced.</t>
        </is>
      </c>
      <c r="M50" s="27" t="inlineStr">
        <is>
          <t>Endpoint failures distinguishable in telemetry.</t>
        </is>
      </c>
      <c r="N50" s="27" t="inlineStr">
        <is>
          <t>High</t>
        </is>
      </c>
      <c r="O50" s="27" t="inlineStr">
        <is>
          <t>Confirm endpoint architecture first (Open Items).</t>
        </is>
      </c>
      <c r="P50" s="27" t="n">
        <v>2</v>
      </c>
      <c r="Q50" s="27" t="n">
        <v>3</v>
      </c>
      <c r="R50" s="27">
        <f>P50*Q50</f>
        <v/>
      </c>
      <c r="S50" s="27" t="n">
        <v>3</v>
      </c>
      <c r="T50" s="27" t="n"/>
      <c r="U50" s="28" t="n"/>
      <c r="V50" s="28" t="n"/>
      <c r="W50" s="28" t="inlineStr">
        <is>
          <t>Proposed</t>
        </is>
      </c>
      <c r="X50" s="27">
        <f>IF(P50=5,"Almost Certain",IF(P50=4,"Likely",IF(P50=3,"Possible",IF(P50=2,"Unlikely","Rare"))))</f>
        <v/>
      </c>
      <c r="Y50" s="27">
        <f>IF(R50&gt;=16,"Critical",IF(R50&gt;=9,"High",IF(R50&gt;=4,"Medium","Opportunistic")))</f>
        <v/>
      </c>
    </row>
    <row r="51" ht="32.25" customHeight="1" s="19">
      <c r="A51" s="30" t="inlineStr">
        <is>
          <t>CE-EDGE-01</t>
        </is>
      </c>
      <c r="B51" s="27" t="inlineStr">
        <is>
          <t>Timeout chain ordering validation</t>
        </is>
      </c>
      <c r="C51" s="27" t="inlineStr">
        <is>
          <t>Edge</t>
        </is>
      </c>
      <c r="D51" s="27" t="inlineStr">
        <is>
          <t>Application</t>
        </is>
      </c>
      <c r="E51" s="27" t="inlineStr">
        <is>
          <t>Sync API</t>
        </is>
      </c>
      <c r="F51" s="27" t="inlineStr">
        <is>
          <t>One representative service per APG</t>
        </is>
      </c>
      <c r="G51" s="27" t="inlineStr">
        <is>
          <t>Inject stepped latency BETWEEN each configured threshold: just above HikariCP, just below Feign/R4j, ALB idle, NLB idle (350s), API GW (29s).</t>
        </is>
      </c>
      <c r="H51" s="27" t="inlineStr">
        <is>
          <t>Timeouts fire in the documented order from the timeout-alignment work; every layer's failure is attributable; no silent NLB drops or API-GW-first surprises.</t>
        </is>
      </c>
      <c r="I51" s="27" t="inlineStr">
        <is>
          <t>App-level latency (Chaos Monkey for Spring Boot) + Toxiproxy</t>
        </is>
      </c>
      <c r="J51" s="27" t="inlineStr">
        <is>
          <t>One call path</t>
        </is>
      </c>
      <c r="K51" s="27" t="inlineStr">
        <is>
          <t>n/a (measurement)</t>
        </is>
      </c>
      <c r="L51" s="27" t="inlineStr">
        <is>
          <t>Empirical firing order == documented order, per path. Deviations are FMEA findings.</t>
        </is>
      </c>
      <c r="M51" s="27" t="inlineStr">
        <is>
          <t>Each layer's timeout distinguishable in traces.</t>
        </is>
      </c>
      <c r="N51" s="27" t="inlineStr">
        <is>
          <t>High</t>
        </is>
      </c>
      <c r="O51" s="27" t="inlineStr">
        <is>
          <t>Config-level; verify PERF configs == PROD (Open Items).</t>
        </is>
      </c>
      <c r="P51" s="27" t="n">
        <v>4</v>
      </c>
      <c r="Q51" s="27" t="n">
        <v>4</v>
      </c>
      <c r="R51" s="27">
        <f>P51*Q51</f>
        <v/>
      </c>
      <c r="S51" s="27" t="n">
        <v>1</v>
      </c>
      <c r="T51" s="27" t="n"/>
      <c r="U51" s="28" t="n"/>
      <c r="V51" s="28" t="n"/>
      <c r="W51" s="28" t="inlineStr">
        <is>
          <t>Proposed</t>
        </is>
      </c>
      <c r="X51" s="27">
        <f>IF(P51=5,"Almost Certain",IF(P51=4,"Likely",IF(P51=3,"Possible",IF(P51=2,"Unlikely","Rare"))))</f>
        <v/>
      </c>
      <c r="Y51" s="27">
        <f>IF(R51&gt;=16,"Critical",IF(R51&gt;=9,"High",IF(R51&gt;=4,"Medium","Opportunistic")))</f>
        <v/>
      </c>
    </row>
    <row r="52" ht="32.25" customHeight="1" s="19">
      <c r="A52" s="30" t="inlineStr">
        <is>
          <t>CE-EDGE-02</t>
        </is>
      </c>
      <c r="B52" s="27" t="inlineStr">
        <is>
          <t>NLB idle-timeout behavior (350s silent drop)</t>
        </is>
      </c>
      <c r="C52" s="27" t="inlineStr">
        <is>
          <t>Edge</t>
        </is>
      </c>
      <c r="D52" s="27" t="inlineStr">
        <is>
          <t>Application</t>
        </is>
      </c>
      <c r="E52" s="27" t="inlineStr">
        <is>
          <t>Sync API</t>
        </is>
      </c>
      <c r="F52" s="27" t="inlineStr">
        <is>
          <t>Long-call paths; DSM external→internal NLB pair</t>
        </is>
      </c>
      <c r="G52" s="27" t="inlineStr">
        <is>
          <t>Hold connections idle past 350s; observe RST-on-next-byte semantics through the double-NLB DSM path.</t>
        </is>
      </c>
      <c r="H52" s="27" t="inlineStr">
        <is>
          <t>No legitimate call path approaches NLB idle limits; keepalive settings prevent surprise resets on reused connections.</t>
        </is>
      </c>
      <c r="I52" s="27" t="inlineStr">
        <is>
          <t>Custom client</t>
        </is>
      </c>
      <c r="J52" s="27" t="inlineStr">
        <is>
          <t>Selected paths</t>
        </is>
      </c>
      <c r="K52" s="27" t="inlineStr">
        <is>
          <t>n/a</t>
        </is>
      </c>
      <c r="L52" s="27" t="inlineStr">
        <is>
          <t>Keepalive &lt; NLB idle proven per hop.</t>
        </is>
      </c>
      <c r="M52" s="27" t="inlineStr">
        <is>
          <t>Connection-reset anomalies visible.</t>
        </is>
      </c>
      <c r="N52" s="27" t="inlineStr">
        <is>
          <t>High</t>
        </is>
      </c>
      <c r="O52" s="27" t="inlineStr">
        <is>
          <t>—</t>
        </is>
      </c>
      <c r="P52" s="27" t="n">
        <v>2</v>
      </c>
      <c r="Q52" s="27" t="n">
        <v>3</v>
      </c>
      <c r="R52" s="27">
        <f>P52*Q52</f>
        <v/>
      </c>
      <c r="S52" s="27" t="n">
        <v>2</v>
      </c>
      <c r="T52" s="27" t="inlineStr">
        <is>
          <t>CE-EDGE-01</t>
        </is>
      </c>
      <c r="U52" s="28" t="n"/>
      <c r="V52" s="28" t="n"/>
      <c r="W52" s="28" t="inlineStr">
        <is>
          <t>Proposed</t>
        </is>
      </c>
      <c r="X52" s="27">
        <f>IF(P52=5,"Almost Certain",IF(P52=4,"Likely",IF(P52=3,"Possible",IF(P52=2,"Unlikely","Rare"))))</f>
        <v/>
      </c>
      <c r="Y52" s="27">
        <f>IF(R52&gt;=16,"Critical",IF(R52&gt;=9,"High",IF(R52&gt;=4,"Medium","Opportunistic")))</f>
        <v/>
      </c>
    </row>
    <row r="53" ht="21.75" customHeight="1" s="19">
      <c r="A53" s="30" t="inlineStr">
        <is>
          <t>CE-EDGE-03</t>
        </is>
      </c>
      <c r="B53" s="27" t="inlineStr">
        <is>
          <t>API Gateway throttle breach</t>
        </is>
      </c>
      <c r="C53" s="27" t="inlineStr">
        <is>
          <t>Edge</t>
        </is>
      </c>
      <c r="D53" s="27" t="inlineStr">
        <is>
          <t>Infrastructure</t>
        </is>
      </c>
      <c r="E53" s="27" t="inlineStr">
        <is>
          <t>Sync API</t>
        </is>
      </c>
      <c r="F53" s="27" t="inlineStr">
        <is>
          <t>One API per APG</t>
        </is>
      </c>
      <c r="G53" s="27" t="inlineStr">
        <is>
          <t>Drive load past configured rate/burst limits.</t>
        </is>
      </c>
      <c r="H53" s="27" t="inlineStr">
        <is>
          <t>429s returned cleanly; callers back off (no retry hammering); throttle limits match capacity math.</t>
        </is>
      </c>
      <c r="I53" s="27" t="inlineStr">
        <is>
          <t>Load generator</t>
        </is>
      </c>
      <c r="J53" s="27" t="inlineStr">
        <is>
          <t>One API</t>
        </is>
      </c>
      <c r="K53" s="27" t="inlineStr">
        <is>
          <t>Retry amplification</t>
        </is>
      </c>
      <c r="L53" s="27" t="inlineStr">
        <is>
          <t>Backoff-on-429 proven caller-side.</t>
        </is>
      </c>
      <c r="M53" s="27" t="inlineStr">
        <is>
          <t>Throttle events alarmed with caller attribution.</t>
        </is>
      </c>
      <c r="N53" s="27" t="inlineStr">
        <is>
          <t>High</t>
        </is>
      </c>
      <c r="O53" s="27" t="inlineStr">
        <is>
          <t>Limits config parity TBC.</t>
        </is>
      </c>
      <c r="P53" s="27" t="n">
        <v>3</v>
      </c>
      <c r="Q53" s="27" t="n">
        <v>3</v>
      </c>
      <c r="R53" s="27">
        <f>P53*Q53</f>
        <v/>
      </c>
      <c r="S53" s="27" t="n">
        <v>2</v>
      </c>
      <c r="T53" s="27" t="n"/>
      <c r="U53" s="28" t="n"/>
      <c r="V53" s="28" t="n"/>
      <c r="W53" s="28" t="inlineStr">
        <is>
          <t>Proposed</t>
        </is>
      </c>
      <c r="X53" s="27">
        <f>IF(P53=5,"Almost Certain",IF(P53=4,"Likely",IF(P53=3,"Possible",IF(P53=2,"Unlikely","Rare"))))</f>
        <v/>
      </c>
      <c r="Y53" s="27">
        <f>IF(R53&gt;=16,"Critical",IF(R53&gt;=9,"High",IF(R53&gt;=4,"Medium","Opportunistic")))</f>
        <v/>
      </c>
    </row>
    <row r="54" ht="21.75" customHeight="1" s="19">
      <c r="A54" s="30" t="inlineStr">
        <is>
          <t>CE-EDGE-04</t>
        </is>
      </c>
      <c r="B54" s="27" t="inlineStr">
        <is>
          <t>ALB drain during deploy under load</t>
        </is>
      </c>
      <c r="C54" s="27" t="inlineStr">
        <is>
          <t>Edge</t>
        </is>
      </c>
      <c r="D54" s="27" t="inlineStr">
        <is>
          <t>Infrastructure</t>
        </is>
      </c>
      <c r="E54" s="27" t="inlineStr">
        <is>
          <t>Sync API</t>
        </is>
      </c>
      <c r="F54" s="27" t="inlineStr">
        <is>
          <t>One service</t>
        </is>
      </c>
      <c r="G54" s="27" t="inlineStr">
        <is>
          <t>Deploy under load; measure deregistration-delay vs in-flight request duration.</t>
        </is>
      </c>
      <c r="H54" s="27" t="inlineStr">
        <is>
          <t>Zero in-flight kills: drain timeout ≥ p99 request duration; connection reuse doesn't route to draining targets.</t>
        </is>
      </c>
      <c r="I54" s="27" t="inlineStr">
        <is>
          <t>Deploy + load</t>
        </is>
      </c>
      <c r="J54" s="27" t="inlineStr">
        <is>
          <t>One service</t>
        </is>
      </c>
      <c r="K54" s="27" t="inlineStr">
        <is>
          <t>5xx during drain</t>
        </is>
      </c>
      <c r="L54" s="27" t="inlineStr">
        <is>
          <t>Drain settings validated against real p99.</t>
        </is>
      </c>
      <c r="M54" s="27" t="inlineStr">
        <is>
          <t>Deploy-window error attribution clean.</t>
        </is>
      </c>
      <c r="N54" s="27" t="inlineStr">
        <is>
          <t>High</t>
        </is>
      </c>
      <c r="O54" s="27" t="inlineStr">
        <is>
          <t>—</t>
        </is>
      </c>
      <c r="P54" s="27" t="n">
        <v>3</v>
      </c>
      <c r="Q54" s="27" t="n">
        <v>3</v>
      </c>
      <c r="R54" s="27">
        <f>P54*Q54</f>
        <v/>
      </c>
      <c r="S54" s="27" t="n">
        <v>2</v>
      </c>
      <c r="T54" s="27" t="inlineStr">
        <is>
          <t>CE-COM-03</t>
        </is>
      </c>
      <c r="U54" s="28" t="n"/>
      <c r="V54" s="28" t="n"/>
      <c r="W54" s="28" t="inlineStr">
        <is>
          <t>Proposed</t>
        </is>
      </c>
      <c r="X54" s="27">
        <f>IF(P54=5,"Almost Certain",IF(P54=4,"Likely",IF(P54=3,"Possible",IF(P54=2,"Unlikely","Rare"))))</f>
        <v/>
      </c>
      <c r="Y54" s="27">
        <f>IF(R54&gt;=16,"Critical",IF(R54&gt;=9,"High",IF(R54&gt;=4,"Medium","Opportunistic")))</f>
        <v/>
      </c>
    </row>
    <row r="55" ht="32.25" customHeight="1" s="19">
      <c r="A55" s="30" t="inlineStr">
        <is>
          <t>CE-EDGE-05</t>
        </is>
      </c>
      <c r="B55" s="27" t="inlineStr">
        <is>
          <t>DPS Proxy path degradation (3-active edges)</t>
        </is>
      </c>
      <c r="C55" s="27" t="inlineStr">
        <is>
          <t>Edge</t>
        </is>
      </c>
      <c r="D55" s="27" t="inlineStr">
        <is>
          <t>Infrastructure</t>
        </is>
      </c>
      <c r="E55" s="27" t="inlineStr">
        <is>
          <t>Edge/BFF</t>
        </is>
      </c>
      <c r="F55" s="27" t="inlineStr">
        <is>
          <t>TE, CHE, SSE</t>
        </is>
      </c>
      <c r="G55" s="27" t="inlineStr">
        <is>
          <t>Degrade one region's DPS-Proxy-fronted path (latency/errors upstream of R53).</t>
        </is>
      </c>
      <c r="H55" s="27" t="inlineStr">
        <is>
          <t>3-active routing shifts traffic away from impaired region; stateless services show no session breakage; user-visible impact bounded.</t>
        </is>
      </c>
      <c r="I55" s="27" t="inlineStr">
        <is>
          <t>Custom (upstream injection) / coordination</t>
        </is>
      </c>
      <c r="J55" s="27" t="inlineStr">
        <is>
          <t>One region's edge</t>
        </is>
      </c>
      <c r="K55" s="27" t="inlineStr">
        <is>
          <t>User-visible errors sustained</t>
        </is>
      </c>
      <c r="L55" s="27" t="inlineStr">
        <is>
          <t>Traffic-shift behavior measured incl. shift-back.</t>
        </is>
      </c>
      <c r="M55" s="27" t="inlineStr">
        <is>
          <t>Regional edge health per region visible.</t>
        </is>
      </c>
      <c r="N55" s="27" t="inlineStr">
        <is>
          <t>Low</t>
        </is>
      </c>
      <c r="O55" s="27" t="inlineStr">
        <is>
          <t>us-west-2 presence + DPS Proxy parity in PERF TBC (Open Items).</t>
        </is>
      </c>
      <c r="P55" s="27" t="n">
        <v>2</v>
      </c>
      <c r="Q55" s="27" t="n">
        <v>4</v>
      </c>
      <c r="R55" s="27">
        <f>P55*Q55</f>
        <v/>
      </c>
      <c r="S55" s="27" t="n">
        <v>3</v>
      </c>
      <c r="T55" s="27" t="n"/>
      <c r="U55" s="28" t="n"/>
      <c r="V55" s="28" t="n"/>
      <c r="W55" s="28" t="inlineStr">
        <is>
          <t>Proposed</t>
        </is>
      </c>
      <c r="X55" s="27">
        <f>IF(P55=5,"Almost Certain",IF(P55=4,"Likely",IF(P55=3,"Possible",IF(P55=2,"Unlikely","Rare"))))</f>
        <v/>
      </c>
      <c r="Y55" s="27">
        <f>IF(R55&gt;=16,"Critical",IF(R55&gt;=9,"High",IF(R55&gt;=4,"Medium","Opportunistic")))</f>
        <v/>
      </c>
    </row>
    <row r="56" ht="32.25" customHeight="1" s="19">
      <c r="A56" s="30" t="inlineStr">
        <is>
          <t>CE-EDGE-06</t>
        </is>
      </c>
      <c r="B56" s="27" t="inlineStr">
        <is>
          <t>DLAT direct path (no API GW) exposure check</t>
        </is>
      </c>
      <c r="C56" s="27" t="inlineStr">
        <is>
          <t>Edge</t>
        </is>
      </c>
      <c r="D56" s="27" t="inlineStr">
        <is>
          <t>Application</t>
        </is>
      </c>
      <c r="E56" s="27" t="inlineStr">
        <is>
          <t>Admin tool</t>
        </is>
      </c>
      <c r="F56" s="27" t="inlineStr">
        <is>
          <t>DLAT</t>
        </is>
      </c>
      <c r="G56" s="27" t="inlineStr">
        <is>
          <t>Exercise DLAT's R53→NLB→ALB path under fault (latency, auth anomalies).</t>
        </is>
      </c>
      <c r="H56" s="27" t="inlineStr">
        <is>
          <t>Protections absent from skipping API GW (throttle, auth at edge) are compensated elsewhere — or documented as accepted risk.</t>
        </is>
      </c>
      <c r="I56" s="27" t="inlineStr">
        <is>
          <t>Custom</t>
        </is>
      </c>
      <c r="J56" s="27" t="inlineStr">
        <is>
          <t>DLAT</t>
        </is>
      </c>
      <c r="K56" s="27" t="inlineStr">
        <is>
          <t>n/a</t>
        </is>
      </c>
      <c r="L56" s="27" t="inlineStr">
        <is>
          <t>Control gap analysis complete (feeds DLAT documentation gap).</t>
        </is>
      </c>
      <c r="M56" s="27" t="inlineStr">
        <is>
          <t>DLAT traffic observable at all (suspected gap).</t>
        </is>
      </c>
      <c r="N56" s="27" t="inlineStr">
        <is>
          <t>High</t>
        </is>
      </c>
      <c r="O56" s="27" t="inlineStr">
        <is>
          <t>—</t>
        </is>
      </c>
      <c r="P56" s="27" t="n">
        <v>2</v>
      </c>
      <c r="Q56" s="27" t="n">
        <v>3</v>
      </c>
      <c r="R56" s="27">
        <f>P56*Q56</f>
        <v/>
      </c>
      <c r="S56" s="27" t="n">
        <v>3</v>
      </c>
      <c r="T56" s="27" t="n"/>
      <c r="U56" s="28" t="n"/>
      <c r="V56" s="28" t="n"/>
      <c r="W56" s="28" t="inlineStr">
        <is>
          <t>Proposed</t>
        </is>
      </c>
      <c r="X56" s="27">
        <f>IF(P56=5,"Almost Certain",IF(P56=4,"Likely",IF(P56=3,"Possible",IF(P56=2,"Unlikely","Rare"))))</f>
        <v/>
      </c>
      <c r="Y56" s="27">
        <f>IF(R56&gt;=16,"Critical",IF(R56&gt;=9,"High",IF(R56&gt;=4,"Medium","Opportunistic")))</f>
        <v/>
      </c>
    </row>
    <row r="57" ht="32.25" customHeight="1" s="19">
      <c r="A57" s="30" t="inlineStr">
        <is>
          <t>CE-EXT-01</t>
        </is>
      </c>
      <c r="B57" s="27" t="inlineStr">
        <is>
          <t>CBS Posting 5xx burst</t>
        </is>
      </c>
      <c r="C57" s="27" t="inlineStr">
        <is>
          <t>External Dep</t>
        </is>
      </c>
      <c r="D57" s="27" t="inlineStr">
        <is>
          <t>Application</t>
        </is>
      </c>
      <c r="E57" s="27" t="inlineStr">
        <is>
          <t>Sync API / Recon</t>
        </is>
      </c>
      <c r="F57" s="27" t="inlineStr">
        <is>
          <t>AFM, DCM, DTR corrections</t>
        </is>
      </c>
      <c r="G57" s="27" t="inlineStr">
        <is>
          <t>Inject 5xx from CBS Posting via proxy layer in front of dedicated PERF CBS instance.</t>
        </is>
      </c>
      <c r="H57" s="27" t="inlineStr">
        <is>
          <t>R4j breaker on the Posting client trips on failure-rate; callers queue/park work per design; no lost postings — retried or parked, never dropped.</t>
        </is>
      </c>
      <c r="I57" s="27" t="inlineStr">
        <is>
          <t>Toxiproxy/injection proxy (PERF CBS is live — cannot be failed itself)</t>
        </is>
      </c>
      <c r="J57" s="27" t="inlineStr">
        <is>
          <t>Posting-dependent flows</t>
        </is>
      </c>
      <c r="K57" s="27" t="inlineStr">
        <is>
          <t>Posting silently dropped</t>
        </is>
      </c>
      <c r="L57" s="27" t="inlineStr">
        <is>
          <t>Breaker + park/retry semantics proven; recovery drains parked work.</t>
        </is>
      </c>
      <c r="M57" s="27" t="inlineStr">
        <is>
          <t>CBS-Posting health as seen FROM Core alarmed (not just CBS's own monitoring).</t>
        </is>
      </c>
      <c r="N57" s="27" t="inlineStr">
        <is>
          <t>High</t>
        </is>
      </c>
      <c r="O57" s="27" t="inlineStr">
        <is>
          <t>Dedicated PERF CBS: inject in front, never break the instance.</t>
        </is>
      </c>
      <c r="P57" s="27" t="n">
        <v>3</v>
      </c>
      <c r="Q57" s="27" t="n">
        <v>5</v>
      </c>
      <c r="R57" s="27">
        <f>P57*Q57</f>
        <v/>
      </c>
      <c r="S57" s="27" t="n">
        <v>1</v>
      </c>
      <c r="T57" s="27" t="n"/>
      <c r="U57" s="28" t="n"/>
      <c r="V57" s="28" t="n"/>
      <c r="W57" s="28" t="inlineStr">
        <is>
          <t>Proposed</t>
        </is>
      </c>
      <c r="X57" s="27">
        <f>IF(P57=5,"Almost Certain",IF(P57=4,"Likely",IF(P57=3,"Possible",IF(P57=2,"Unlikely","Rare"))))</f>
        <v/>
      </c>
      <c r="Y57" s="27">
        <f>IF(R57&gt;=16,"Critical",IF(R57&gt;=9,"High",IF(R57&gt;=4,"Medium","Opportunistic")))</f>
        <v/>
      </c>
    </row>
    <row r="58" ht="32.25" customHeight="1" s="19">
      <c r="A58" s="30" t="inlineStr">
        <is>
          <t>CE-EXT-02</t>
        </is>
      </c>
      <c r="B58" s="27" t="inlineStr">
        <is>
          <t>CBS slow-but-alive (gray failure)</t>
        </is>
      </c>
      <c r="C58" s="27" t="inlineStr">
        <is>
          <t>External Dep</t>
        </is>
      </c>
      <c r="D58" s="27" t="inlineStr">
        <is>
          <t>Application</t>
        </is>
      </c>
      <c r="E58" s="27" t="inlineStr">
        <is>
          <t>Sync API</t>
        </is>
      </c>
      <c r="F58" s="27" t="inlineStr">
        <is>
          <t>AFM, DSM, DCM (CBS callers)</t>
        </is>
      </c>
      <c r="G58" s="27" t="inlineStr">
        <is>
          <t>Inject 5–15s latency (no errors) on CBS responses.</t>
        </is>
      </c>
      <c r="H58" s="27" t="inlineStr">
        <is>
          <t>SLOW-CALL-RATE breaker path trips (distinct code path from failure-rate); threads don't pool-exhaust waiting; timeout chain caps caller exposure.</t>
        </is>
      </c>
      <c r="I58" s="27" t="inlineStr">
        <is>
          <t>Toxiproxy latency</t>
        </is>
      </c>
      <c r="J58" s="27" t="inlineStr">
        <is>
          <t>CBS callers</t>
        </is>
      </c>
      <c r="K58" s="27" t="inlineStr">
        <is>
          <t>Thread pool exhaustion</t>
        </is>
      </c>
      <c r="L58" s="27" t="inlineStr">
        <is>
          <t>Slow-call breaker config proven per service — the highest-value app-level test in the catalog.</t>
        </is>
      </c>
      <c r="M58" s="27" t="inlineStr">
        <is>
          <t>Latency-based alerting fires BEFORE error-based.</t>
        </is>
      </c>
      <c r="N58" s="27" t="inlineStr">
        <is>
          <t>High</t>
        </is>
      </c>
      <c r="O58" s="27" t="inlineStr">
        <is>
          <t>—</t>
        </is>
      </c>
      <c r="P58" s="27" t="n">
        <v>4</v>
      </c>
      <c r="Q58" s="27" t="n">
        <v>5</v>
      </c>
      <c r="R58" s="27">
        <f>P58*Q58</f>
        <v/>
      </c>
      <c r="S58" s="27" t="n">
        <v>1</v>
      </c>
      <c r="T58" s="27" t="inlineStr">
        <is>
          <t>CE-EDGE-01</t>
        </is>
      </c>
      <c r="U58" s="28" t="n"/>
      <c r="V58" s="28" t="n"/>
      <c r="W58" s="28" t="inlineStr">
        <is>
          <t>Proposed</t>
        </is>
      </c>
      <c r="X58" s="27">
        <f>IF(P58=5,"Almost Certain",IF(P58=4,"Likely",IF(P58=3,"Possible",IF(P58=2,"Unlikely","Rare"))))</f>
        <v/>
      </c>
      <c r="Y58" s="27">
        <f>IF(R58&gt;=16,"Critical",IF(R58&gt;=9,"High",IF(R58&gt;=4,"Medium","Opportunistic")))</f>
        <v/>
      </c>
    </row>
    <row r="59" ht="32.25" customHeight="1" s="19">
      <c r="A59" s="30" t="inlineStr">
        <is>
          <t>CE-EXT-03</t>
        </is>
      </c>
      <c r="B59" s="27" t="inlineStr">
        <is>
          <t>CBS event stream stall</t>
        </is>
      </c>
      <c r="C59" s="27" t="inlineStr">
        <is>
          <t>External Dep</t>
        </is>
      </c>
      <c r="D59" s="27" t="inlineStr">
        <is>
          <t>Application</t>
        </is>
      </c>
      <c r="E59" s="27" t="inlineStr">
        <is>
          <t>Event processor</t>
        </is>
      </c>
      <c r="F59" s="27" t="inlineStr">
        <is>
          <t>DBE, DTE</t>
        </is>
      </c>
      <c r="G59" s="27" t="inlineStr">
        <is>
          <t>Suppress CBS Balance/Transaction events (consumers healthy, topic silent).</t>
        </is>
      </c>
      <c r="H59" s="27" t="inlineStr">
        <is>
          <t>Silence is DETECTED as anomaly (expected-throughput heartbeat), not just absence of errors — classic silent-failure trap.</t>
        </is>
      </c>
      <c r="I59" s="27" t="inlineStr">
        <is>
          <t>Custom (suppress at source/proxy)</t>
        </is>
      </c>
      <c r="J59" s="27" t="inlineStr">
        <is>
          <t>Enrichment freshness</t>
        </is>
      </c>
      <c r="K59" s="27" t="inlineStr">
        <is>
          <t>n/a (detection)</t>
        </is>
      </c>
      <c r="L59" s="27" t="inlineStr">
        <is>
          <t>Staleness of enriched data downstream (AU/ETU) bounded + alarmed.</t>
        </is>
      </c>
      <c r="M59" s="27" t="inlineStr">
        <is>
          <t>Throughput-floor / heartbeat alarm exists (suspected gap).</t>
        </is>
      </c>
      <c r="N59" s="27" t="inlineStr">
        <is>
          <t>High</t>
        </is>
      </c>
      <c r="O59" s="27" t="inlineStr">
        <is>
          <t>—</t>
        </is>
      </c>
      <c r="P59" s="27" t="n">
        <v>3</v>
      </c>
      <c r="Q59" s="27" t="n">
        <v>4</v>
      </c>
      <c r="R59" s="27">
        <f>P59*Q59</f>
        <v/>
      </c>
      <c r="S59" s="27" t="n">
        <v>1</v>
      </c>
      <c r="T59" s="27" t="n"/>
      <c r="U59" s="28" t="n"/>
      <c r="V59" s="28" t="n"/>
      <c r="W59" s="28" t="inlineStr">
        <is>
          <t>Proposed</t>
        </is>
      </c>
      <c r="X59" s="27">
        <f>IF(P59=5,"Almost Certain",IF(P59=4,"Likely",IF(P59=3,"Possible",IF(P59=2,"Unlikely","Rare"))))</f>
        <v/>
      </c>
      <c r="Y59" s="27">
        <f>IF(R59&gt;=16,"Critical",IF(R59&gt;=9,"High",IF(R59&gt;=4,"Medium","Opportunistic")))</f>
        <v/>
      </c>
    </row>
    <row r="60" ht="21.75" customHeight="1" s="19">
      <c r="A60" s="30" t="inlineStr">
        <is>
          <t>CE-EXT-04</t>
        </is>
      </c>
      <c r="B60" s="27" t="inlineStr">
        <is>
          <t>LCDP degradation</t>
        </is>
      </c>
      <c r="C60" s="27" t="inlineStr">
        <is>
          <t>External Dep</t>
        </is>
      </c>
      <c r="D60" s="27" t="inlineStr">
        <is>
          <t>Application</t>
        </is>
      </c>
      <c r="E60" s="27" t="inlineStr">
        <is>
          <t>Per dependency map</t>
        </is>
      </c>
      <c r="F60" s="27" t="inlineStr">
        <is>
          <t>LCDP callers</t>
        </is>
      </c>
      <c r="G60" s="27" t="inlineStr">
        <is>
          <t>Inject errors/latency on LCDP calls.</t>
        </is>
      </c>
      <c r="H60" s="27" t="inlineStr">
        <is>
          <t>Callers degrade per design (fallback/cached/deferred) without journey hard-failure where FMEA says soft-fail.</t>
        </is>
      </c>
      <c r="I60" s="27" t="inlineStr">
        <is>
          <t>Toxiproxy</t>
        </is>
      </c>
      <c r="J60" s="27" t="inlineStr">
        <is>
          <t>LCDP callers</t>
        </is>
      </c>
      <c r="K60" s="27" t="inlineStr">
        <is>
          <t>Hard failure where soft expected</t>
        </is>
      </c>
      <c r="L60" s="27" t="inlineStr">
        <is>
          <t>Documented degradation mode matches reality.</t>
        </is>
      </c>
      <c r="M60" s="27" t="inlineStr">
        <is>
          <t>LCDP-as-seen-from-Core health visible.</t>
        </is>
      </c>
      <c r="N60" s="27" t="inlineStr">
        <is>
          <t>High</t>
        </is>
      </c>
      <c r="O60" s="27" t="inlineStr">
        <is>
          <t>—</t>
        </is>
      </c>
      <c r="P60" s="27" t="n">
        <v>3</v>
      </c>
      <c r="Q60" s="27" t="n">
        <v>4</v>
      </c>
      <c r="R60" s="27">
        <f>P60*Q60</f>
        <v/>
      </c>
      <c r="S60" s="27" t="n">
        <v>2</v>
      </c>
      <c r="T60" s="27" t="n"/>
      <c r="U60" s="28" t="n"/>
      <c r="V60" s="28" t="n"/>
      <c r="W60" s="28" t="inlineStr">
        <is>
          <t>Proposed</t>
        </is>
      </c>
      <c r="X60" s="27">
        <f>IF(P60=5,"Almost Certain",IF(P60=4,"Likely",IF(P60=3,"Possible",IF(P60=2,"Unlikely","Rare"))))</f>
        <v/>
      </c>
      <c r="Y60" s="27">
        <f>IF(R60&gt;=16,"Critical",IF(R60&gt;=9,"High",IF(R60&gt;=4,"Medium","Opportunistic")))</f>
        <v/>
      </c>
    </row>
    <row r="61" ht="32.25" customHeight="1" s="19">
      <c r="A61" s="30" t="inlineStr">
        <is>
          <t>CE-EXT-05</t>
        </is>
      </c>
      <c r="B61" s="27" t="inlineStr">
        <is>
          <t>AU / ETU unavailable (enriched-event downstream)</t>
        </is>
      </c>
      <c r="C61" s="27" t="inlineStr">
        <is>
          <t>External Dep</t>
        </is>
      </c>
      <c r="D61" s="27" t="inlineStr">
        <is>
          <t>Application</t>
        </is>
      </c>
      <c r="E61" s="27" t="inlineStr">
        <is>
          <t>Event processor</t>
        </is>
      </c>
      <c r="F61" s="27" t="inlineStr">
        <is>
          <t>DBE→AU, DTE→ETU paths</t>
        </is>
      </c>
      <c r="G61" s="27" t="inlineStr">
        <is>
          <t>Block delivery of enriched events to AU/ETU (Kafka-side or consumer-side per topology).</t>
        </is>
      </c>
      <c r="H61" s="27" t="inlineStr">
        <is>
          <t>Enriched events are durable in MBUS regardless of downstream health (pub/sub decoupling holds); no producer-side blocking.</t>
        </is>
      </c>
      <c r="I61" s="27" t="inlineStr">
        <is>
          <t>Custom</t>
        </is>
      </c>
      <c r="J61" s="27" t="inlineStr">
        <is>
          <t>Enrichment egress</t>
        </is>
      </c>
      <c r="K61" s="27" t="inlineStr">
        <is>
          <t>Producer blocked by consumer health</t>
        </is>
      </c>
      <c r="L61" s="27" t="inlineStr">
        <is>
          <t>Decoupling proven; downstream catch-up clean.</t>
        </is>
      </c>
      <c r="M61" s="27" t="inlineStr">
        <is>
          <t>Downstream-lag-on-our-topics visibility (whose alarm? — governance note).</t>
        </is>
      </c>
      <c r="N61" s="27" t="inlineStr">
        <is>
          <t>High</t>
        </is>
      </c>
      <c r="O61" s="27" t="inlineStr">
        <is>
          <t>—</t>
        </is>
      </c>
      <c r="P61" s="27" t="n">
        <v>2</v>
      </c>
      <c r="Q61" s="27" t="n">
        <v>3</v>
      </c>
      <c r="R61" s="27">
        <f>P61*Q61</f>
        <v/>
      </c>
      <c r="S61" s="27" t="n">
        <v>2</v>
      </c>
      <c r="T61" s="27" t="n"/>
      <c r="U61" s="28" t="n"/>
      <c r="V61" s="28" t="n"/>
      <c r="W61" s="28" t="inlineStr">
        <is>
          <t>Proposed</t>
        </is>
      </c>
      <c r="X61" s="27">
        <f>IF(P61=5,"Almost Certain",IF(P61=4,"Likely",IF(P61=3,"Possible",IF(P61=2,"Unlikely","Rare"))))</f>
        <v/>
      </c>
      <c r="Y61" s="27">
        <f>IF(R61&gt;=16,"Critical",IF(R61&gt;=9,"High",IF(R61&gt;=4,"Medium","Opportunistic")))</f>
        <v/>
      </c>
    </row>
    <row r="62" ht="32.25" customHeight="1" s="19">
      <c r="A62" s="30" t="inlineStr">
        <is>
          <t>CE-EXT-06</t>
        </is>
      </c>
      <c r="B62" s="27" t="inlineStr">
        <is>
          <t>CSU failure — alert enrichment</t>
        </is>
      </c>
      <c r="C62" s="27" t="inlineStr">
        <is>
          <t>External Dep</t>
        </is>
      </c>
      <c r="D62" s="27" t="inlineStr">
        <is>
          <t>Application</t>
        </is>
      </c>
      <c r="E62" s="27" t="inlineStr">
        <is>
          <t>Event processor</t>
        </is>
      </c>
      <c r="F62" s="27" t="inlineStr">
        <is>
          <t>DAL</t>
        </is>
      </c>
      <c r="G62" s="27" t="inlineStr">
        <is>
          <t>Fail CSU (parent/child fetch) during alert processing.</t>
        </is>
      </c>
      <c r="H62" s="27" t="inlineStr">
        <is>
          <t>DAL degrades per design: alert sent without enrichment OR parked for cron recovery (its documented failure-recovery scheduler) — never silently dropped.</t>
        </is>
      </c>
      <c r="I62" s="27" t="inlineStr">
        <is>
          <t>Toxiproxy</t>
        </is>
      </c>
      <c r="J62" s="27" t="inlineStr">
        <is>
          <t>Alert pipeline</t>
        </is>
      </c>
      <c r="K62" s="27" t="inlineStr">
        <is>
          <t>Alerts dropped</t>
        </is>
      </c>
      <c r="L62" s="27" t="inlineStr">
        <is>
          <t>Degrade-vs-park decision proven; cron recovery drains parked alerts.</t>
        </is>
      </c>
      <c r="M62" s="27" t="inlineStr">
        <is>
          <t>Unenriched/parked alert rate alarmed.</t>
        </is>
      </c>
      <c r="N62" s="27" t="inlineStr">
        <is>
          <t>High</t>
        </is>
      </c>
      <c r="O62" s="27" t="inlineStr">
        <is>
          <t>—</t>
        </is>
      </c>
      <c r="P62" s="27" t="n">
        <v>3</v>
      </c>
      <c r="Q62" s="27" t="n">
        <v>3</v>
      </c>
      <c r="R62" s="27">
        <f>P62*Q62</f>
        <v/>
      </c>
      <c r="S62" s="27" t="n">
        <v>2</v>
      </c>
      <c r="T62" s="27" t="n"/>
      <c r="U62" s="28" t="n"/>
      <c r="V62" s="28" t="n"/>
      <c r="W62" s="28" t="inlineStr">
        <is>
          <t>Proposed</t>
        </is>
      </c>
      <c r="X62" s="27">
        <f>IF(P62=5,"Almost Certain",IF(P62=4,"Likely",IF(P62=3,"Possible",IF(P62=2,"Unlikely","Rare"))))</f>
        <v/>
      </c>
      <c r="Y62" s="27">
        <f>IF(R62&gt;=16,"Critical",IF(R62&gt;=9,"High",IF(R62&gt;=4,"Medium","Opportunistic")))</f>
        <v/>
      </c>
    </row>
    <row r="63" ht="32.25" customHeight="1" s="19">
      <c r="A63" s="30" t="inlineStr">
        <is>
          <t>CE-EXT-07</t>
        </is>
      </c>
      <c r="B63" s="27" t="inlineStr">
        <is>
          <t>ChannelContext failure — TE</t>
        </is>
      </c>
      <c r="C63" s="27" t="inlineStr">
        <is>
          <t>External Dep</t>
        </is>
      </c>
      <c r="D63" s="27" t="inlineStr">
        <is>
          <t>Application</t>
        </is>
      </c>
      <c r="E63" s="27" t="inlineStr">
        <is>
          <t>Edge/BFF</t>
        </is>
      </c>
      <c r="F63" s="27" t="inlineStr">
        <is>
          <t>TE</t>
        </is>
      </c>
      <c r="G63" s="27" t="inlineStr">
        <is>
          <t>Fail ChannelContext calls from TE.</t>
        </is>
      </c>
      <c r="H63" s="27" t="inlineStr">
        <is>
          <t>TE renders degraded-but-usable experience (partial data) rather than error page — BFF partial-failure rendering proven.</t>
        </is>
      </c>
      <c r="I63" s="27" t="inlineStr">
        <is>
          <t>Toxiproxy</t>
        </is>
      </c>
      <c r="J63" s="27" t="inlineStr">
        <is>
          <t>TE UX</t>
        </is>
      </c>
      <c r="K63" s="27" t="inlineStr">
        <is>
          <t>Full page failure</t>
        </is>
      </c>
      <c r="L63" s="27" t="inlineStr">
        <is>
          <t>Partial-render behavior per widget documented.</t>
        </is>
      </c>
      <c r="M63" s="27" t="inlineStr">
        <is>
          <t>Client-visible degradation measured (RUM/synthetic).</t>
        </is>
      </c>
      <c r="N63" s="27" t="inlineStr">
        <is>
          <t>High</t>
        </is>
      </c>
      <c r="O63" s="27" t="inlineStr">
        <is>
          <t>—</t>
        </is>
      </c>
      <c r="P63" s="27" t="n">
        <v>3</v>
      </c>
      <c r="Q63" s="27" t="n">
        <v>3</v>
      </c>
      <c r="R63" s="27">
        <f>P63*Q63</f>
        <v/>
      </c>
      <c r="S63" s="27" t="n">
        <v>2</v>
      </c>
      <c r="T63" s="27" t="n"/>
      <c r="U63" s="28" t="n"/>
      <c r="V63" s="28" t="n"/>
      <c r="W63" s="28" t="inlineStr">
        <is>
          <t>Proposed</t>
        </is>
      </c>
      <c r="X63" s="27">
        <f>IF(P63=5,"Almost Certain",IF(P63=4,"Likely",IF(P63=3,"Possible",IF(P63=2,"Unlikely","Rare"))))</f>
        <v/>
      </c>
      <c r="Y63" s="27">
        <f>IF(R63&gt;=16,"Critical",IF(R63&gt;=9,"High",IF(R63&gt;=4,"Medium","Opportunistic")))</f>
        <v/>
      </c>
    </row>
    <row r="64" ht="32.25" customHeight="1" s="19">
      <c r="A64" s="30" t="inlineStr">
        <is>
          <t>CE-EXT-08</t>
        </is>
      </c>
      <c r="B64" s="27" t="inlineStr">
        <is>
          <t>Split.io flag evaluation unavailable</t>
        </is>
      </c>
      <c r="C64" s="27" t="inlineStr">
        <is>
          <t>External Dep</t>
        </is>
      </c>
      <c r="D64" s="27" t="inlineStr">
        <is>
          <t>Application</t>
        </is>
      </c>
      <c r="E64" s="27" t="inlineStr">
        <is>
          <t>All flag users</t>
        </is>
      </c>
      <c r="F64" s="27" t="inlineStr">
        <is>
          <t>Per-service inventory</t>
        </is>
      </c>
      <c r="G64" s="27" t="inlineStr">
        <is>
          <t>Block Split.io from services.</t>
        </is>
      </c>
      <c r="H64" s="27" t="inlineStr">
        <is>
          <t>Each service's fail-open/fail-closed posture per flag is KNOWN and safe; cached/default treatments engage; no feature flapping.</t>
        </is>
      </c>
      <c r="I64" s="27" t="inlineStr">
        <is>
          <t>Custom (egress block)</t>
        </is>
      </c>
      <c r="J64" s="27" t="inlineStr">
        <is>
          <t>Flag-gated behavior</t>
        </is>
      </c>
      <c r="K64" s="27" t="inlineStr">
        <is>
          <t>Unsafe default exposed</t>
        </is>
      </c>
      <c r="L64" s="27" t="inlineStr">
        <is>
          <t>Flag-posture inventory produced per service — output is the deliverable.</t>
        </is>
      </c>
      <c r="M64" s="27" t="inlineStr">
        <is>
          <t>Flag-evaluation failure visible.</t>
        </is>
      </c>
      <c r="N64" s="27" t="inlineStr">
        <is>
          <t>High</t>
        </is>
      </c>
      <c r="O64" s="27" t="inlineStr">
        <is>
          <t>—</t>
        </is>
      </c>
      <c r="P64" s="27" t="n">
        <v>2</v>
      </c>
      <c r="Q64" s="27" t="n">
        <v>4</v>
      </c>
      <c r="R64" s="27">
        <f>P64*Q64</f>
        <v/>
      </c>
      <c r="S64" s="27" t="n">
        <v>2</v>
      </c>
      <c r="T64" s="27" t="n"/>
      <c r="U64" s="28" t="n"/>
      <c r="V64" s="28" t="n"/>
      <c r="W64" s="28" t="inlineStr">
        <is>
          <t>Proposed</t>
        </is>
      </c>
      <c r="X64" s="27">
        <f>IF(P64=5,"Almost Certain",IF(P64=4,"Likely",IF(P64=3,"Possible",IF(P64=2,"Unlikely","Rare"))))</f>
        <v/>
      </c>
      <c r="Y64" s="27">
        <f>IF(R64&gt;=16,"Critical",IF(R64&gt;=9,"High",IF(R64&gt;=4,"Medium","Opportunistic")))</f>
        <v/>
      </c>
    </row>
    <row r="65" ht="32.25" customHeight="1" s="19">
      <c r="A65" s="30" t="inlineStr">
        <is>
          <t>CE-EXT-09</t>
        </is>
      </c>
      <c r="B65" s="27" t="inlineStr">
        <is>
          <t>AuthAnywhere token issuance failure — TE ingress</t>
        </is>
      </c>
      <c r="C65" s="27" t="inlineStr">
        <is>
          <t>External Dep</t>
        </is>
      </c>
      <c r="D65" s="27" t="inlineStr">
        <is>
          <t>Application</t>
        </is>
      </c>
      <c r="E65" s="27" t="inlineStr">
        <is>
          <t>Edge/BFF</t>
        </is>
      </c>
      <c r="F65" s="27" t="inlineStr">
        <is>
          <t>TE (API GW token validate)</t>
        </is>
      </c>
      <c r="G65" s="27" t="inlineStr">
        <is>
          <t>Degrade AuthAnywhere validation path at TE's edge.</t>
        </is>
      </c>
      <c r="H65" s="27" t="inlineStr">
        <is>
          <t>Existing sessions (cached validations) continue per TTL; new sessions fail with clean auth error; no retry storm against IDP.</t>
        </is>
      </c>
      <c r="I65" s="27" t="inlineStr">
        <is>
          <t>Custom / coordination</t>
        </is>
      </c>
      <c r="J65" s="27" t="inlineStr">
        <is>
          <t>TE ingress auth</t>
        </is>
      </c>
      <c r="K65" s="27" t="inlineStr">
        <is>
          <t>Auth retry storm</t>
        </is>
      </c>
      <c r="L65" s="27" t="inlineStr">
        <is>
          <t>Session-cache behavior + backoff proven.</t>
        </is>
      </c>
      <c r="M65" s="27" t="inlineStr">
        <is>
          <t>Auth-path failure distinct in alerting.</t>
        </is>
      </c>
      <c r="N65" s="27" t="inlineStr">
        <is>
          <t>Medium</t>
        </is>
      </c>
      <c r="O65" s="27" t="inlineStr">
        <is>
          <t>IDP is shared platform — coordination required; scope to PERF path.</t>
        </is>
      </c>
      <c r="P65" s="27" t="n">
        <v>2</v>
      </c>
      <c r="Q65" s="27" t="n">
        <v>5</v>
      </c>
      <c r="R65" s="27">
        <f>P65*Q65</f>
        <v/>
      </c>
      <c r="S65" s="27" t="n">
        <v>2</v>
      </c>
      <c r="T65" s="27" t="n"/>
      <c r="U65" s="28" t="n"/>
      <c r="V65" s="28" t="n"/>
      <c r="W65" s="28" t="inlineStr">
        <is>
          <t>Proposed</t>
        </is>
      </c>
      <c r="X65" s="27">
        <f>IF(P65=5,"Almost Certain",IF(P65=4,"Likely",IF(P65=3,"Possible",IF(P65=2,"Unlikely","Rare"))))</f>
        <v/>
      </c>
      <c r="Y65" s="27">
        <f>IF(R65&gt;=16,"Critical",IF(R65&gt;=9,"High",IF(R65&gt;=4,"Medium","Opportunistic")))</f>
        <v/>
      </c>
    </row>
    <row r="66" ht="32.25" customHeight="1" s="19">
      <c r="A66" s="30" t="inlineStr">
        <is>
          <t>CE-CFG-01</t>
        </is>
      </c>
      <c r="B66" s="27" t="inlineStr">
        <is>
          <t>Parameter Store reload failure</t>
        </is>
      </c>
      <c r="C66" s="27" t="inlineStr">
        <is>
          <t>Config/Secrets</t>
        </is>
      </c>
      <c r="D66" s="27" t="inlineStr">
        <is>
          <t>Application</t>
        </is>
      </c>
      <c r="E66" s="27" t="inlineStr">
        <is>
          <t>Event processor</t>
        </is>
      </c>
      <c r="F66" s="27" t="inlineStr">
        <is>
          <t>DBE (parameterstore reload strategy)</t>
        </is>
      </c>
      <c r="G66" s="27" t="inlineStr">
        <is>
          <t>Block Parameter Store access AFTER startup; then push a config change during the block.</t>
        </is>
      </c>
      <c r="H66" s="27" t="inlineStr">
        <is>
          <t>Service continues on last-known-good config (no crash); missed reload is DETECTED; reload resumes on restore without restart.</t>
        </is>
      </c>
      <c r="I66" s="27" t="inlineStr">
        <is>
          <t>Custom (deny in PERF)</t>
        </is>
      </c>
      <c r="J66" s="27" t="inlineStr">
        <is>
          <t>DBE config</t>
        </is>
      </c>
      <c r="K66" s="27" t="inlineStr">
        <is>
          <t>Crash on reload failure</t>
        </is>
      </c>
      <c r="L66" s="27" t="inlineStr">
        <is>
          <t>Stale-config runway understood; reload health visible.</t>
        </is>
      </c>
      <c r="M66" s="27" t="inlineStr">
        <is>
          <t>Reload-failure alarm exists (suspected gap).</t>
        </is>
      </c>
      <c r="N66" s="27" t="inlineStr">
        <is>
          <t>High</t>
        </is>
      </c>
      <c r="O66" s="27" t="inlineStr">
        <is>
          <t>—</t>
        </is>
      </c>
      <c r="P66" s="27" t="n">
        <v>2</v>
      </c>
      <c r="Q66" s="27" t="n">
        <v>3</v>
      </c>
      <c r="R66" s="27">
        <f>P66*Q66</f>
        <v/>
      </c>
      <c r="S66" s="27" t="n">
        <v>2</v>
      </c>
      <c r="T66" s="27" t="n"/>
      <c r="U66" s="28" t="n"/>
      <c r="V66" s="28" t="n"/>
      <c r="W66" s="28" t="inlineStr">
        <is>
          <t>Proposed</t>
        </is>
      </c>
      <c r="X66" s="27">
        <f>IF(P66=5,"Almost Certain",IF(P66=4,"Likely",IF(P66=3,"Possible",IF(P66=2,"Unlikely","Rare"))))</f>
        <v/>
      </c>
      <c r="Y66" s="27">
        <f>IF(R66&gt;=16,"Critical",IF(R66&gt;=9,"High",IF(R66&gt;=4,"Medium","Opportunistic")))</f>
        <v/>
      </c>
    </row>
    <row r="67" ht="32.25" customHeight="1" s="19">
      <c r="A67" s="30" t="inlineStr">
        <is>
          <t>CE-CFG-02</t>
        </is>
      </c>
      <c r="B67" s="27" t="inlineStr">
        <is>
          <t>Secrets retrieval outage at task startup</t>
        </is>
      </c>
      <c r="C67" s="27" t="inlineStr">
        <is>
          <t>Config/Secrets</t>
        </is>
      </c>
      <c r="D67" s="27" t="inlineStr">
        <is>
          <t>Infrastructure</t>
        </is>
      </c>
      <c r="E67" s="27" t="inlineStr">
        <is>
          <t>All</t>
        </is>
      </c>
      <c r="F67" s="27" t="inlineStr">
        <is>
          <t>One service per secret pattern</t>
        </is>
      </c>
      <c r="G67" s="27" t="inlineStr">
        <is>
          <t>ASM/Secrets Manager outage window + force task recycles during it.</t>
        </is>
      </c>
      <c r="H67" s="27" t="inlineStr">
        <is>
          <t>Running tasks unaffected; replacement tasks fail startup FAST and LOUD; crash-loop backoff doesn't mask the root cause; capacity floor alarmed.</t>
        </is>
      </c>
      <c r="I67" s="27" t="inlineStr">
        <is>
          <t>Custom (deny) + stop-task</t>
        </is>
      </c>
      <c r="J67" s="27" t="inlineStr">
        <is>
          <t>Recycled tasks</t>
        </is>
      </c>
      <c r="K67" s="27" t="inlineStr">
        <is>
          <t>Capacity below floor</t>
        </is>
      </c>
      <c r="L67" s="27" t="inlineStr">
        <is>
          <t>Startup-dependency blast radius = f(recycle rate during outage) — quantified.</t>
        </is>
      </c>
      <c r="M67" s="27" t="inlineStr">
        <is>
          <t>Startup-failure cause attributable in alerts.</t>
        </is>
      </c>
      <c r="N67" s="27" t="inlineStr">
        <is>
          <t>High</t>
        </is>
      </c>
      <c r="O67" s="27" t="inlineStr">
        <is>
          <t>—</t>
        </is>
      </c>
      <c r="P67" s="27" t="n">
        <v>2</v>
      </c>
      <c r="Q67" s="27" t="n">
        <v>4</v>
      </c>
      <c r="R67" s="27">
        <f>P67*Q67</f>
        <v/>
      </c>
      <c r="S67" s="27" t="n">
        <v>2</v>
      </c>
      <c r="T67" s="27" t="inlineStr">
        <is>
          <t>CE-CACHE-03</t>
        </is>
      </c>
      <c r="U67" s="28" t="n"/>
      <c r="V67" s="28" t="n"/>
      <c r="W67" s="28" t="inlineStr">
        <is>
          <t>Proposed</t>
        </is>
      </c>
      <c r="X67" s="27">
        <f>IF(P67=5,"Almost Certain",IF(P67=4,"Likely",IF(P67=3,"Possible",IF(P67=2,"Unlikely","Rare"))))</f>
        <v/>
      </c>
      <c r="Y67" s="27">
        <f>IF(R67&gt;=16,"Critical",IF(R67&gt;=9,"High",IF(R67&gt;=4,"Medium","Opportunistic")))</f>
        <v/>
      </c>
    </row>
    <row r="68" ht="42.75" customHeight="1" s="19">
      <c r="A68" s="30" t="inlineStr">
        <is>
          <t>CE-REG-01</t>
        </is>
      </c>
      <c r="B68" s="27" t="inlineStr">
        <is>
          <t>R53 failover + client re-resolution vs TTL</t>
        </is>
      </c>
      <c r="C68" s="27" t="inlineStr">
        <is>
          <t>Region/DR</t>
        </is>
      </c>
      <c r="D68" s="27" t="inlineStr">
        <is>
          <t>Infrastructure</t>
        </is>
      </c>
      <c r="E68" s="27" t="inlineStr">
        <is>
          <t>Sync API</t>
        </is>
      </c>
      <c r="F68" s="27" t="inlineStr">
        <is>
          <t>Active/Passive services</t>
        </is>
      </c>
      <c r="G68" s="27" t="inlineStr">
        <is>
          <t>Execute DNS failover; measure ACTUAL client re-resolution against the TTL-floor finding from prior DR work.</t>
        </is>
      </c>
      <c r="H68" s="27" t="inlineStr">
        <is>
          <t>Traffic shifts within TTL-derived budget; long-lived connections re-resolve (or are forcibly recycled) per design; no stragglers pinned to failed region.</t>
        </is>
      </c>
      <c r="I68" s="27" t="inlineStr">
        <is>
          <t>Drill + client-side measurement</t>
        </is>
      </c>
      <c r="J68" s="27" t="inlineStr">
        <is>
          <t>One service's traffic</t>
        </is>
      </c>
      <c r="K68" s="27" t="inlineStr">
        <is>
          <t>Stragglers writing to old region</t>
        </is>
      </c>
      <c r="L68" s="27" t="inlineStr">
        <is>
          <t>Empirical re-resolution curve vs TTL floor — closes the prior finding.</t>
        </is>
      </c>
      <c r="M68" s="27" t="inlineStr">
        <is>
          <t>Traffic-shift completeness measurable per region.</t>
        </is>
      </c>
      <c r="N68" s="27" t="inlineStr">
        <is>
          <t>Low</t>
        </is>
      </c>
      <c r="O68" s="27" t="inlineStr">
        <is>
          <t>PERF DNS config parity + client population differ — treat as method validation, retest at prod-parity.</t>
        </is>
      </c>
      <c r="P68" s="27" t="n">
        <v>3</v>
      </c>
      <c r="Q68" s="27" t="n">
        <v>4</v>
      </c>
      <c r="R68" s="27">
        <f>P68*Q68</f>
        <v/>
      </c>
      <c r="S68" s="27" t="n">
        <v>4</v>
      </c>
      <c r="T68" s="27" t="n"/>
      <c r="U68" s="28" t="n"/>
      <c r="V68" s="28" t="n"/>
      <c r="W68" s="28" t="inlineStr">
        <is>
          <t>Proposed</t>
        </is>
      </c>
      <c r="X68" s="27">
        <f>IF(P68=5,"Almost Certain",IF(P68=4,"Likely",IF(P68=3,"Possible",IF(P68=2,"Unlikely","Rare"))))</f>
        <v/>
      </c>
      <c r="Y68" s="27">
        <f>IF(R68&gt;=16,"Critical",IF(R68&gt;=9,"High",IF(R68&gt;=4,"Medium","Opportunistic")))</f>
        <v/>
      </c>
    </row>
    <row r="69" ht="32.25" customHeight="1" s="19">
      <c r="A69" s="30" t="inlineStr">
        <is>
          <t>CE-REG-02</t>
        </is>
      </c>
      <c r="B69" s="27" t="inlineStr">
        <is>
          <t>dr-orchestrator orchestrated failover — full drill</t>
        </is>
      </c>
      <c r="C69" s="27" t="inlineStr">
        <is>
          <t>Region/DR</t>
        </is>
      </c>
      <c r="D69" s="27" t="inlineStr">
        <is>
          <t>Compound</t>
        </is>
      </c>
      <c r="E69" s="27" t="inlineStr">
        <is>
          <t>Orchestrator</t>
        </is>
      </c>
      <c r="F69" s="27" t="inlineStr">
        <is>
          <t>dr-orchestrator + one APG scope</t>
        </is>
      </c>
      <c r="G69" s="27" t="inlineStr">
        <is>
          <t>Trigger the CloudWatch-alarm-driven orchestrated failover end-to-end (clean-room conditions first).</t>
        </is>
      </c>
      <c r="H69" s="27" t="inlineStr">
        <is>
          <t>Orchestrator sequences DNS/DB/service failover correctly; per-step evidence matches design; RTO within target for the scoped APG.</t>
        </is>
      </c>
      <c r="I69" s="27" t="inlineStr">
        <is>
          <t>Drill (alarm-triggered)</t>
        </is>
      </c>
      <c r="J69" s="27" t="inlineStr">
        <is>
          <t>Scoped APG cross-region</t>
        </is>
      </c>
      <c r="K69" s="27" t="inlineStr">
        <is>
          <t>Any step requiring undocumented manual fix</t>
        </is>
      </c>
      <c r="L69" s="27" t="inlineStr">
        <is>
          <t>Step-by-step timing evidence; the orchestrator is the system under test.</t>
        </is>
      </c>
      <c r="M69" s="27" t="inlineStr">
        <is>
          <t>Orchestrator's own telemetry sufficient to follow progress live.</t>
        </is>
      </c>
      <c r="N69" s="27" t="inlineStr">
        <is>
          <t>Medium</t>
        </is>
      </c>
      <c r="O69" s="27" t="inlineStr">
        <is>
          <t>dr-orchestrator PERF parity TBC (Open Items).</t>
        </is>
      </c>
      <c r="P69" s="27" t="n">
        <v>2</v>
      </c>
      <c r="Q69" s="27" t="n">
        <v>5</v>
      </c>
      <c r="R69" s="27">
        <f>P69*Q69</f>
        <v/>
      </c>
      <c r="S69" s="27" t="n">
        <v>4</v>
      </c>
      <c r="T69" s="27" t="inlineStr">
        <is>
          <t>CE-DB-06,CE-REG-01</t>
        </is>
      </c>
      <c r="U69" s="28" t="n"/>
      <c r="V69" s="28" t="n"/>
      <c r="W69" s="28" t="inlineStr">
        <is>
          <t>Proposed</t>
        </is>
      </c>
      <c r="X69" s="27">
        <f>IF(P69=5,"Almost Certain",IF(P69=4,"Likely",IF(P69=3,"Possible",IF(P69=2,"Unlikely","Rare"))))</f>
        <v/>
      </c>
      <c r="Y69" s="27">
        <f>IF(R69&gt;=16,"Critical",IF(R69&gt;=9,"High",IF(R69&gt;=4,"Medium","Opportunistic")))</f>
        <v/>
      </c>
    </row>
    <row r="70" ht="32.25" customHeight="1" s="19">
      <c r="A70" s="30" t="inlineStr">
        <is>
          <t>CE-REG-03</t>
        </is>
      </c>
      <c r="B70" s="27" t="inlineStr">
        <is>
          <t>Orchestrator impaired DURING failover</t>
        </is>
      </c>
      <c r="C70" s="27" t="inlineStr">
        <is>
          <t>Region/DR</t>
        </is>
      </c>
      <c r="D70" s="27" t="inlineStr">
        <is>
          <t>Compound</t>
        </is>
      </c>
      <c r="E70" s="27" t="inlineStr">
        <is>
          <t>Orchestrator</t>
        </is>
      </c>
      <c r="F70" s="27" t="inlineStr">
        <is>
          <t>dr-orchestrator</t>
        </is>
      </c>
      <c r="G70" s="27" t="inlineStr">
        <is>
          <t>Fail dr-orchestrator mid-sequence (kill at defined steps).</t>
        </is>
      </c>
      <c r="H70" s="27" t="inlineStr">
        <is>
          <t>Partial-failover state is safe (no split-brain), diagnosable, and manually completable from runbook — the orchestrator is not a new SPOF.</t>
        </is>
      </c>
      <c r="I70" s="27" t="inlineStr">
        <is>
          <t>Drill + injection</t>
        </is>
      </c>
      <c r="J70" s="27" t="inlineStr">
        <is>
          <t>Failover state machine</t>
        </is>
      </c>
      <c r="K70" s="27" t="inlineStr">
        <is>
          <t>Split-brain risk</t>
        </is>
      </c>
      <c r="L70" s="27" t="inlineStr">
        <is>
          <t>Manual completion path proven per interruption point.</t>
        </is>
      </c>
      <c r="M70" s="27" t="inlineStr">
        <is>
          <t>Partial-state visibility explicit.</t>
        </is>
      </c>
      <c r="N70" s="27" t="inlineStr">
        <is>
          <t>Medium</t>
        </is>
      </c>
      <c r="O70" s="27" t="inlineStr">
        <is>
          <t>Highest-risk drill — schedule with full stakeholder cover.</t>
        </is>
      </c>
      <c r="P70" s="27" t="n">
        <v>1</v>
      </c>
      <c r="Q70" s="27" t="n">
        <v>5</v>
      </c>
      <c r="R70" s="27">
        <f>P70*Q70</f>
        <v/>
      </c>
      <c r="S70" s="27" t="n">
        <v>4</v>
      </c>
      <c r="T70" s="27" t="inlineStr">
        <is>
          <t>CE-REG-02</t>
        </is>
      </c>
      <c r="U70" s="28" t="n"/>
      <c r="V70" s="28" t="n"/>
      <c r="W70" s="28" t="inlineStr">
        <is>
          <t>Proposed</t>
        </is>
      </c>
      <c r="X70" s="27">
        <f>IF(P70=5,"Almost Certain",IF(P70=4,"Likely",IF(P70=3,"Possible",IF(P70=2,"Unlikely","Rare"))))</f>
        <v/>
      </c>
      <c r="Y70" s="27">
        <f>IF(R70&gt;=16,"Critical",IF(R70&gt;=9,"High",IF(R70&gt;=4,"Medium","Opportunistic")))</f>
        <v/>
      </c>
    </row>
    <row r="71" ht="21.75" customHeight="1" s="19">
      <c r="A71" s="30" t="inlineStr">
        <is>
          <t>CE-REG-04</t>
        </is>
      </c>
      <c r="B71" s="27" t="inlineStr">
        <is>
          <t>Active/Active brownout (latency-routed)</t>
        </is>
      </c>
      <c r="C71" s="27" t="inlineStr">
        <is>
          <t>Region/DR</t>
        </is>
      </c>
      <c r="D71" s="27" t="inlineStr">
        <is>
          <t>Infrastructure</t>
        </is>
      </c>
      <c r="E71" s="27" t="inlineStr">
        <is>
          <t>Sync API</t>
        </is>
      </c>
      <c r="F71" s="27" t="inlineStr">
        <is>
          <t>ALS, ARM</t>
        </is>
      </c>
      <c r="G71" s="27" t="inlineStr">
        <is>
          <t>Degrade (not kill) one region — elevated latency/errors below failover thresholds.</t>
        </is>
      </c>
      <c r="H71" s="27" t="inlineStr">
        <is>
          <t>Latency-based routing shifts weight gracefully; no oscillation; brownout (gray) handled as well as blackout.</t>
        </is>
      </c>
      <c r="I71" s="27" t="inlineStr">
        <is>
          <t>Custom regional degradation</t>
        </is>
      </c>
      <c r="J71" s="27" t="inlineStr">
        <is>
          <t>One region's share</t>
        </is>
      </c>
      <c r="K71" s="27" t="inlineStr">
        <is>
          <t>Route flapping</t>
        </is>
      </c>
      <c r="L71" s="27" t="inlineStr">
        <is>
          <t>Shift + shift-back smooth; hysteresis adequate.</t>
        </is>
      </c>
      <c r="M71" s="27" t="inlineStr">
        <is>
          <t>Per-region SLI split visible for A/A services.</t>
        </is>
      </c>
      <c r="N71" s="27" t="inlineStr">
        <is>
          <t>Medium</t>
        </is>
      </c>
      <c r="O71" s="27" t="inlineStr">
        <is>
          <t>Routing config parity TBC.</t>
        </is>
      </c>
      <c r="P71" s="27" t="n">
        <v>3</v>
      </c>
      <c r="Q71" s="27" t="n">
        <v>4</v>
      </c>
      <c r="R71" s="27">
        <f>P71*Q71</f>
        <v/>
      </c>
      <c r="S71" s="27" t="n">
        <v>4</v>
      </c>
      <c r="T71" s="27" t="inlineStr">
        <is>
          <t>CE-REG-01</t>
        </is>
      </c>
      <c r="U71" s="28" t="n"/>
      <c r="V71" s="28" t="n"/>
      <c r="W71" s="28" t="inlineStr">
        <is>
          <t>Proposed</t>
        </is>
      </c>
      <c r="X71" s="27">
        <f>IF(P71=5,"Almost Certain",IF(P71=4,"Likely",IF(P71=3,"Possible",IF(P71=2,"Unlikely","Rare"))))</f>
        <v/>
      </c>
      <c r="Y71" s="27">
        <f>IF(R71&gt;=16,"Critical",IF(R71&gt;=9,"High",IF(R71&gt;=4,"Medium","Opportunistic")))</f>
        <v/>
      </c>
    </row>
    <row r="72" ht="32.25" customHeight="1" s="19">
      <c r="A72" s="30" t="inlineStr">
        <is>
          <t>CE-REG-05</t>
        </is>
      </c>
      <c r="B72" s="27" t="inlineStr">
        <is>
          <t>3-Active regional loss — experience services</t>
        </is>
      </c>
      <c r="C72" s="27" t="inlineStr">
        <is>
          <t>Region/DR</t>
        </is>
      </c>
      <c r="D72" s="27" t="inlineStr">
        <is>
          <t>Infrastructure</t>
        </is>
      </c>
      <c r="E72" s="27" t="inlineStr">
        <is>
          <t>Edge/BFF</t>
        </is>
      </c>
      <c r="F72" s="27" t="inlineStr">
        <is>
          <t>TE, CHE, SSE</t>
        </is>
      </c>
      <c r="G72" s="27" t="inlineStr">
        <is>
          <t>Remove one of three regions for stateless experience tier.</t>
        </is>
      </c>
      <c r="H72" s="27" t="inlineStr">
        <is>
          <t>Remaining two regions absorb at N+1 capacity; stateless claim proven (no hidden affinity); UX impact ~zero.</t>
        </is>
      </c>
      <c r="I72" s="27" t="inlineStr">
        <is>
          <t>Drill</t>
        </is>
      </c>
      <c r="J72" s="27" t="inlineStr">
        <is>
          <t>One region of three</t>
        </is>
      </c>
      <c r="K72" s="27" t="inlineStr">
        <is>
          <t>UX errors</t>
        </is>
      </c>
      <c r="L72" s="27" t="inlineStr">
        <is>
          <t>Hidden-state findings (if any) enumerated.</t>
        </is>
      </c>
      <c r="M72" s="27" t="inlineStr">
        <is>
          <t>Tri-region dashboards coherent.</t>
        </is>
      </c>
      <c r="N72" s="27" t="inlineStr">
        <is>
          <t>Low</t>
        </is>
      </c>
      <c r="O72" s="27" t="inlineStr">
        <is>
          <t>us-west-2 presence in PERF TBC; SSE blocked on documentation.</t>
        </is>
      </c>
      <c r="P72" s="27" t="n">
        <v>2</v>
      </c>
      <c r="Q72" s="27" t="n">
        <v>3</v>
      </c>
      <c r="R72" s="27">
        <f>P72*Q72</f>
        <v/>
      </c>
      <c r="S72" s="27" t="n">
        <v>4</v>
      </c>
      <c r="T72" s="27" t="inlineStr">
        <is>
          <t>CE-EDGE-05</t>
        </is>
      </c>
      <c r="U72" s="28" t="n"/>
      <c r="V72" s="28" t="n"/>
      <c r="W72" s="28" t="inlineStr">
        <is>
          <t>Proposed</t>
        </is>
      </c>
      <c r="X72" s="27">
        <f>IF(P72=5,"Almost Certain",IF(P72=4,"Likely",IF(P72=3,"Possible",IF(P72=2,"Unlikely","Rare"))))</f>
        <v/>
      </c>
      <c r="Y72" s="27">
        <f>IF(R72&gt;=16,"Critical",IF(R72&gt;=9,"High",IF(R72&gt;=4,"Medium","Opportunistic")))</f>
        <v/>
      </c>
    </row>
    <row r="73" ht="32.25" customHeight="1" s="19">
      <c r="A73" s="30" t="inlineStr">
        <is>
          <t>CE-REG-06</t>
        </is>
      </c>
      <c r="B73" s="27" t="inlineStr">
        <is>
          <t>MCC Pilot Light activation</t>
        </is>
      </c>
      <c r="C73" s="27" t="inlineStr">
        <is>
          <t>Region/DR</t>
        </is>
      </c>
      <c r="D73" s="27" t="inlineStr">
        <is>
          <t>Compound</t>
        </is>
      </c>
      <c r="E73" s="27" t="inlineStr">
        <is>
          <t>Sync API + pipeline</t>
        </is>
      </c>
      <c r="F73" s="27" t="inlineStr">
        <is>
          <t>MCC</t>
        </is>
      </c>
      <c r="G73" s="27" t="inlineStr">
        <is>
          <t>Activate MCC's pilot-light DR: stand up capacity, restore data path, cut over.</t>
        </is>
      </c>
      <c r="H73" s="27" t="inlineStr">
        <is>
          <t>Activation runbook meets MCC's RTO; ETU scheduled pull resumes in DR region exactly once; S3 config current.</t>
        </is>
      </c>
      <c r="I73" s="27" t="inlineStr">
        <is>
          <t>Drill</t>
        </is>
      </c>
      <c r="J73" s="27" t="inlineStr">
        <is>
          <t>MCC</t>
        </is>
      </c>
      <c r="K73" s="27" t="inlineStr">
        <is>
          <t>RTO blown badly</t>
        </is>
      </c>
      <c r="L73" s="27" t="inlineStr">
        <is>
          <t>Pilot-light RTO evidence — different posture, different proof.</t>
        </is>
      </c>
      <c r="M73" s="27" t="inlineStr">
        <is>
          <t>DR-region MCC monitored from cold start.</t>
        </is>
      </c>
      <c r="N73" s="27" t="inlineStr">
        <is>
          <t>Low</t>
        </is>
      </c>
      <c r="O73" s="27" t="inlineStr">
        <is>
          <t>Pilot-light infra existence in PERF TBC (Open Items).</t>
        </is>
      </c>
      <c r="P73" s="27" t="n">
        <v>1</v>
      </c>
      <c r="Q73" s="27" t="n">
        <v>4</v>
      </c>
      <c r="R73" s="27">
        <f>P73*Q73</f>
        <v/>
      </c>
      <c r="S73" s="27" t="n">
        <v>4</v>
      </c>
      <c r="T73" s="27" t="n"/>
      <c r="U73" s="28" t="n"/>
      <c r="V73" s="28" t="n"/>
      <c r="W73" s="28" t="inlineStr">
        <is>
          <t>Proposed</t>
        </is>
      </c>
      <c r="X73" s="27">
        <f>IF(P73=5,"Almost Certain",IF(P73=4,"Likely",IF(P73=3,"Possible",IF(P73=2,"Unlikely","Rare"))))</f>
        <v/>
      </c>
      <c r="Y73" s="27">
        <f>IF(R73&gt;=16,"Critical",IF(R73&gt;=9,"High",IF(R73&gt;=4,"Medium","Opportunistic")))</f>
        <v/>
      </c>
    </row>
    <row r="74" ht="32.25" customHeight="1" s="19">
      <c r="A74" s="30" t="inlineStr">
        <is>
          <t>CE-REG-07</t>
        </is>
      </c>
      <c r="B74" s="27" t="inlineStr">
        <is>
          <t>Regional failover MID-RECON window</t>
        </is>
      </c>
      <c r="C74" s="27" t="inlineStr">
        <is>
          <t>Region/DR</t>
        </is>
      </c>
      <c r="D74" s="27" t="inlineStr">
        <is>
          <t>Compound</t>
        </is>
      </c>
      <c r="E74" s="27" t="inlineStr">
        <is>
          <t>Recon/pipeline</t>
        </is>
      </c>
      <c r="F74" s="27" t="inlineStr">
        <is>
          <t>DTR</t>
        </is>
      </c>
      <c r="G74" s="27" t="inlineStr">
        <is>
          <t>Execute regional failover while DTR is mid-run (cross-region S3 + bidirectional Aurora + regional Redis EOD cache).</t>
        </is>
      </c>
      <c r="H74" s="27" t="inlineStr">
        <is>
          <t>Recon state survives or safely restarts in DR region: S3 CRR current, Aurora consistent, Redis EOD cache REBUILT from CBS EOD API (it does not replicate).</t>
        </is>
      </c>
      <c r="I74" s="27" t="inlineStr">
        <is>
          <t>Drill + timing</t>
        </is>
      </c>
      <c r="J74" s="27" t="inlineStr">
        <is>
          <t>EOD recon + region</t>
        </is>
      </c>
      <c r="K74" s="27" t="inlineStr">
        <is>
          <t>Posting corrections from inconsistent state</t>
        </is>
      </c>
      <c r="L74" s="27" t="inlineStr">
        <is>
          <t>Recon-in-DR completes correct-and-late at worst; Redis rebuild path proven.</t>
        </is>
      </c>
      <c r="M74" s="27" t="inlineStr">
        <is>
          <t>Recon-state dashboards exist in BOTH regions.</t>
        </is>
      </c>
      <c r="N74" s="27" t="inlineStr">
        <is>
          <t>Medium</t>
        </is>
      </c>
      <c r="O74" s="27" t="inlineStr">
        <is>
          <t>Combines CACHE-05 + REG mechanics.</t>
        </is>
      </c>
      <c r="P74" s="27" t="n">
        <v>1</v>
      </c>
      <c r="Q74" s="27" t="n">
        <v>5</v>
      </c>
      <c r="R74" s="27">
        <f>P74*Q74</f>
        <v/>
      </c>
      <c r="S74" s="27" t="n">
        <v>4</v>
      </c>
      <c r="T74" s="27" t="inlineStr">
        <is>
          <t>CE-CACHE-05,CE-REG-02</t>
        </is>
      </c>
      <c r="U74" s="28" t="n"/>
      <c r="V74" s="28" t="n"/>
      <c r="W74" s="28" t="inlineStr">
        <is>
          <t>Proposed</t>
        </is>
      </c>
      <c r="X74" s="27">
        <f>IF(P74=5,"Almost Certain",IF(P74=4,"Likely",IF(P74=3,"Possible",IF(P74=2,"Unlikely","Rare"))))</f>
        <v/>
      </c>
      <c r="Y74" s="27">
        <f>IF(R74&gt;=16,"Critical",IF(R74&gt;=9,"High",IF(R74&gt;=4,"Medium","Opportunistic")))</f>
        <v/>
      </c>
    </row>
    <row r="75" ht="42.75" customHeight="1" s="19">
      <c r="A75" s="30" t="inlineStr">
        <is>
          <t>CE-REG-08</t>
        </is>
      </c>
      <c r="B75" s="27" t="inlineStr">
        <is>
          <t>Cross-posture cascade — 3-active edge → failing-over A/P API</t>
        </is>
      </c>
      <c r="C75" s="27" t="inlineStr">
        <is>
          <t>Region/DR</t>
        </is>
      </c>
      <c r="D75" s="27" t="inlineStr">
        <is>
          <t>Compound</t>
        </is>
      </c>
      <c r="E75" s="27" t="inlineStr">
        <is>
          <t>Edge + Sync API</t>
        </is>
      </c>
      <c r="F75" s="27" t="inlineStr">
        <is>
          <t>TE/CHE → SAM/AFM path</t>
        </is>
      </c>
      <c r="G75" s="27" t="inlineStr">
        <is>
          <t>Regional event where edge tier stays tri-region but its downstream sync APIs are mid-A/P-failover.</t>
        </is>
      </c>
      <c r="H75" s="27" t="inlineStr">
        <is>
          <t>Edge retries/timeouts against the failing-over region don't amplify; edge routes to surviving-region API endpoints per discovery design; UX degraded not down.</t>
        </is>
      </c>
      <c r="I75" s="27" t="inlineStr">
        <is>
          <t>Drill scenario within REG-02 scope</t>
        </is>
      </c>
      <c r="J75" s="27" t="inlineStr">
        <is>
          <t>Edge→API paths</t>
        </is>
      </c>
      <c r="K75" s="27" t="inlineStr">
        <is>
          <t>Retry amplification</t>
        </is>
      </c>
      <c r="L75" s="27" t="inlineStr">
        <is>
          <t>Posture-mismatch window quantified — unique to your mixed-posture estate.</t>
        </is>
      </c>
      <c r="M75" s="27" t="inlineStr">
        <is>
          <t>Cross-region call-path visibility in traces.</t>
        </is>
      </c>
      <c r="N75" s="27" t="inlineStr">
        <is>
          <t>Medium</t>
        </is>
      </c>
      <c r="O75" s="27" t="inlineStr">
        <is>
          <t>—</t>
        </is>
      </c>
      <c r="P75" s="27" t="n">
        <v>2</v>
      </c>
      <c r="Q75" s="27" t="n">
        <v>4</v>
      </c>
      <c r="R75" s="27">
        <f>P75*Q75</f>
        <v/>
      </c>
      <c r="S75" s="27" t="n">
        <v>4</v>
      </c>
      <c r="T75" s="27" t="inlineStr">
        <is>
          <t>CE-REG-02,CE-APP-03</t>
        </is>
      </c>
      <c r="U75" s="28" t="n"/>
      <c r="V75" s="28" t="n"/>
      <c r="W75" s="28" t="inlineStr">
        <is>
          <t>Proposed</t>
        </is>
      </c>
      <c r="X75" s="27">
        <f>IF(P75=5,"Almost Certain",IF(P75=4,"Likely",IF(P75=3,"Possible",IF(P75=2,"Unlikely","Rare"))))</f>
        <v/>
      </c>
      <c r="Y75" s="27">
        <f>IF(R75&gt;=16,"Critical",IF(R75&gt;=9,"High",IF(R75&gt;=4,"Medium","Opportunistic")))</f>
        <v/>
      </c>
    </row>
    <row r="76" ht="42.75" customHeight="1" s="19">
      <c r="A76" s="30" t="inlineStr">
        <is>
          <t>CE-OBS-01</t>
        </is>
      </c>
      <c r="B76" s="27" t="inlineStr">
        <is>
          <t>Detection baseline — Dynatrace coverage &amp; latency</t>
        </is>
      </c>
      <c r="C76" s="27" t="inlineStr">
        <is>
          <t>Observability</t>
        </is>
      </c>
      <c r="D76" s="27" t="inlineStr">
        <is>
          <t>Detection</t>
        </is>
      </c>
      <c r="E76" s="27" t="inlineStr">
        <is>
          <t>All</t>
        </is>
      </c>
      <c r="F76" s="27" t="inlineStr">
        <is>
          <t>Wave-1 fault set</t>
        </is>
      </c>
      <c r="G76" s="27" t="inlineStr">
        <is>
          <t>For every Wave-1 injection, record: detected? alerted? paged? time-to-detect? correct component blamed?</t>
        </is>
      </c>
      <c r="H76" s="27" t="inlineStr">
        <is>
          <t>Dynatrace (SaaS) detects ≥ agreed % of injected faults within target latency with correct root-cause attribution — validating the 'not configured properly' concern with evidence.</t>
        </is>
      </c>
      <c r="I76" s="27" t="inlineStr">
        <is>
          <t>Piggyback on Wave-1 runs</t>
        </is>
      </c>
      <c r="J76" s="27" t="inlineStr">
        <is>
          <t>n/a</t>
        </is>
      </c>
      <c r="K76" s="27" t="inlineStr">
        <is>
          <t>n/a</t>
        </is>
      </c>
      <c r="L76" s="27" t="inlineStr">
        <is>
          <t>Coverage/latency scorecard per fault class — THE Wave-1 deliverable for leadership.</t>
        </is>
      </c>
      <c r="M76" s="27" t="inlineStr">
        <is>
          <t>This scenario IS the detection criterion.</t>
        </is>
      </c>
      <c r="N76" s="27" t="inlineStr">
        <is>
          <t>Medium</t>
        </is>
      </c>
      <c r="O76" s="27" t="inlineStr">
        <is>
          <t>Dynatrace config should be env-agnostic — confirm same monitoring config deployed to PERF.</t>
        </is>
      </c>
      <c r="P76" s="27" t="n">
        <v>5</v>
      </c>
      <c r="Q76" s="27" t="n">
        <v>4</v>
      </c>
      <c r="R76" s="27">
        <f>P76*Q76</f>
        <v/>
      </c>
      <c r="S76" s="27" t="n">
        <v>1</v>
      </c>
      <c r="T76" s="27" t="n"/>
      <c r="U76" s="28" t="n"/>
      <c r="V76" s="28" t="n"/>
      <c r="W76" s="28" t="inlineStr">
        <is>
          <t>Proposed</t>
        </is>
      </c>
      <c r="X76" s="27">
        <f>IF(P76=5,"Almost Certain",IF(P76=4,"Likely",IF(P76=3,"Possible",IF(P76=2,"Unlikely","Rare"))))</f>
        <v/>
      </c>
      <c r="Y76" s="27">
        <f>IF(R76&gt;=16,"Critical",IF(R76&gt;=9,"High",IF(R76&gt;=4,"Medium","Opportunistic")))</f>
        <v/>
      </c>
    </row>
    <row r="77" ht="32.25" customHeight="1" s="19">
      <c r="A77" s="30" t="inlineStr">
        <is>
          <t>CE-OBS-02</t>
        </is>
      </c>
      <c r="B77" s="27" t="inlineStr">
        <is>
          <t>CloudWatch alarm validation — dr-orchestrator triggers</t>
        </is>
      </c>
      <c r="C77" s="27" t="inlineStr">
        <is>
          <t>Observability</t>
        </is>
      </c>
      <c r="D77" s="27" t="inlineStr">
        <is>
          <t>Detection</t>
        </is>
      </c>
      <c r="E77" s="27" t="inlineStr">
        <is>
          <t>Orchestrator</t>
        </is>
      </c>
      <c r="F77" s="27" t="inlineStr">
        <is>
          <t>Failover-trigger alarms (owned outside app repos)</t>
        </is>
      </c>
      <c r="G77" s="27" t="inlineStr">
        <is>
          <t>Inject the exact conditions each failover-trigger alarm watches; verify firing thresholds/timing.</t>
        </is>
      </c>
      <c r="H77" s="27" t="inlineStr">
        <is>
          <t>Every alarm that can trigger orchestrated failover fires when it should and NOT on Wave-1 single-fault noise (false-trigger risk).</t>
        </is>
      </c>
      <c r="I77" s="27" t="inlineStr">
        <is>
          <t>Coordination with alarm owners + injection</t>
        </is>
      </c>
      <c r="J77" s="27" t="inlineStr">
        <is>
          <t>Alarm set</t>
        </is>
      </c>
      <c r="K77" s="27" t="inlineStr">
        <is>
          <t>Accidental failover trigger — HARD ABORT</t>
        </is>
      </c>
      <c r="L77" s="27" t="inlineStr">
        <is>
          <t>Trigger-alarm truth table produced; false-positive resistance proven.</t>
        </is>
      </c>
      <c r="M77" s="27" t="inlineStr">
        <is>
          <t>n/a (is detection)</t>
        </is>
      </c>
      <c r="N77" s="27" t="inlineStr">
        <is>
          <t>Medium</t>
        </is>
      </c>
      <c r="O77" s="27" t="inlineStr">
        <is>
          <t>Alarm ownership is external — governance path in Open Items.</t>
        </is>
      </c>
      <c r="P77" s="27" t="n">
        <v>3</v>
      </c>
      <c r="Q77" s="27" t="n">
        <v>5</v>
      </c>
      <c r="R77" s="27">
        <f>P77*Q77</f>
        <v/>
      </c>
      <c r="S77" s="27" t="n">
        <v>1</v>
      </c>
      <c r="T77" s="27" t="n"/>
      <c r="U77" s="28" t="n"/>
      <c r="V77" s="28" t="n"/>
      <c r="W77" s="28" t="inlineStr">
        <is>
          <t>Proposed</t>
        </is>
      </c>
      <c r="X77" s="27">
        <f>IF(P77=5,"Almost Certain",IF(P77=4,"Likely",IF(P77=3,"Possible",IF(P77=2,"Unlikely","Rare"))))</f>
        <v/>
      </c>
      <c r="Y77" s="27">
        <f>IF(R77&gt;=16,"Critical",IF(R77&gt;=9,"High",IF(R77&gt;=4,"Medium","Opportunistic")))</f>
        <v/>
      </c>
    </row>
    <row r="78" ht="32.25" customHeight="1" s="19">
      <c r="A78" s="30" t="inlineStr">
        <is>
          <t>CE-OBS-03</t>
        </is>
      </c>
      <c r="B78" s="27" t="inlineStr">
        <is>
          <t>Silent-failure probes</t>
        </is>
      </c>
      <c r="C78" s="27" t="inlineStr">
        <is>
          <t>Observability</t>
        </is>
      </c>
      <c r="D78" s="27" t="inlineStr">
        <is>
          <t>Detection</t>
        </is>
      </c>
      <c r="E78" s="27" t="inlineStr">
        <is>
          <t>Event processor / pipeline</t>
        </is>
      </c>
      <c r="F78" s="27" t="inlineStr">
        <is>
          <t>DSC warmer stop; DTR purge skip; DBE reload block</t>
        </is>
      </c>
      <c r="G78" s="27" t="inlineStr">
        <is>
          <t>Stop things that fail SILENTLY by design shape (no errors, just absence of good behavior).</t>
        </is>
      </c>
      <c r="H78" s="27" t="inlineStr">
        <is>
          <t>Absence-of-work is alarmed: warmer heartbeat, purge success metric, reload freshness — or gaps are logged as findings.</t>
        </is>
      </c>
      <c r="I78" s="27" t="inlineStr">
        <is>
          <t>Custom per probe</t>
        </is>
      </c>
      <c r="J78" s="27" t="inlineStr">
        <is>
          <t>None (observation)</t>
        </is>
      </c>
      <c r="K78" s="27" t="inlineStr">
        <is>
          <t>n/a</t>
        </is>
      </c>
      <c r="L78" s="27" t="inlineStr">
        <is>
          <t>Silent-failure gap list — expected to be the richest finding source.</t>
        </is>
      </c>
      <c r="M78" s="27" t="inlineStr">
        <is>
          <t>n/a (is detection)</t>
        </is>
      </c>
      <c r="N78" s="27" t="inlineStr">
        <is>
          <t>High</t>
        </is>
      </c>
      <c r="O78" s="27" t="inlineStr">
        <is>
          <t>—</t>
        </is>
      </c>
      <c r="P78" s="27" t="n">
        <v>4</v>
      </c>
      <c r="Q78" s="27" t="n">
        <v>4</v>
      </c>
      <c r="R78" s="27">
        <f>P78*Q78</f>
        <v/>
      </c>
      <c r="S78" s="27" t="n">
        <v>1</v>
      </c>
      <c r="T78" s="27" t="n"/>
      <c r="U78" s="28" t="n"/>
      <c r="V78" s="28" t="n"/>
      <c r="W78" s="28" t="inlineStr">
        <is>
          <t>Proposed</t>
        </is>
      </c>
      <c r="X78" s="27">
        <f>IF(P78=5,"Almost Certain",IF(P78=4,"Likely",IF(P78=3,"Possible",IF(P78=2,"Unlikely","Rare"))))</f>
        <v/>
      </c>
      <c r="Y78" s="27">
        <f>IF(R78&gt;=16,"Critical",IF(R78&gt;=9,"High",IF(R78&gt;=4,"Medium","Opportunistic")))</f>
        <v/>
      </c>
    </row>
    <row r="79" ht="21.75" customHeight="1" s="19">
      <c r="A79" s="30" t="inlineStr">
        <is>
          <t>CE-OBS-04</t>
        </is>
      </c>
      <c r="B79" s="27" t="inlineStr">
        <is>
          <t>Detection-to-diagnosis drill (on-call)</t>
        </is>
      </c>
      <c r="C79" s="27" t="inlineStr">
        <is>
          <t>Observability</t>
        </is>
      </c>
      <c r="D79" s="27" t="inlineStr">
        <is>
          <t>Detection</t>
        </is>
      </c>
      <c r="E79" s="27" t="inlineStr">
        <is>
          <t>All</t>
        </is>
      </c>
      <c r="F79" s="27" t="inlineStr">
        <is>
          <t>On-call rotation</t>
        </is>
      </c>
      <c r="G79" s="27" t="inlineStr">
        <is>
          <t>Unannounced (within game-day window) fault; measure alert→ack→correct-diagnosis→correct-runbook time.</t>
        </is>
      </c>
      <c r="H79" s="27" t="inlineStr">
        <is>
          <t>Human + tooling loop reaches correct diagnosis within target; runbooks match reality post-Wave-1/2 findings.</t>
        </is>
      </c>
      <c r="I79" s="27" t="inlineStr">
        <is>
          <t>Game day</t>
        </is>
      </c>
      <c r="J79" s="27" t="inlineStr">
        <is>
          <t>One team's on-call</t>
        </is>
      </c>
      <c r="K79" s="27" t="inlineStr">
        <is>
          <t>Distress — abort and debrief</t>
        </is>
      </c>
      <c r="L79" s="27" t="inlineStr">
        <is>
          <t>MTTD/MTTI evidence; runbook fixes queued.</t>
        </is>
      </c>
      <c r="M79" s="27" t="inlineStr">
        <is>
          <t>n/a (is detection)</t>
        </is>
      </c>
      <c r="N79" s="27" t="inlineStr">
        <is>
          <t>High</t>
        </is>
      </c>
      <c r="O79" s="27" t="inlineStr">
        <is>
          <t>—</t>
        </is>
      </c>
      <c r="P79" s="27" t="n">
        <v>3</v>
      </c>
      <c r="Q79" s="27" t="n">
        <v>4</v>
      </c>
      <c r="R79" s="27">
        <f>P79*Q79</f>
        <v/>
      </c>
      <c r="S79" s="27" t="n">
        <v>3</v>
      </c>
      <c r="T79" s="27" t="inlineStr">
        <is>
          <t>CE-OBS-01</t>
        </is>
      </c>
      <c r="U79" s="28" t="n"/>
      <c r="V79" s="28" t="n"/>
      <c r="W79" s="28" t="inlineStr">
        <is>
          <t>Proposed</t>
        </is>
      </c>
      <c r="X79" s="27">
        <f>IF(P79=5,"Almost Certain",IF(P79=4,"Likely",IF(P79=3,"Possible",IF(P79=2,"Unlikely","Rare"))))</f>
        <v/>
      </c>
      <c r="Y79" s="27">
        <f>IF(R79&gt;=16,"Critical",IF(R79&gt;=9,"High",IF(R79&gt;=4,"Medium","Opportunistic")))</f>
        <v/>
      </c>
    </row>
    <row r="80" ht="32.25" customHeight="1" s="19">
      <c r="A80" s="30" t="inlineStr">
        <is>
          <t>CE-APP-01</t>
        </is>
      </c>
      <c r="B80" s="27" t="inlineStr">
        <is>
          <t>Breaker trip — failure-rate path + half-open recovery</t>
        </is>
      </c>
      <c r="C80" s="27" t="inlineStr">
        <is>
          <t>App Resilience</t>
        </is>
      </c>
      <c r="D80" s="27" t="inlineStr">
        <is>
          <t>Application</t>
        </is>
      </c>
      <c r="E80" s="27" t="inlineStr">
        <is>
          <t>Sync API</t>
        </is>
      </c>
      <c r="F80" s="27" t="inlineStr">
        <is>
          <t>Each R4j-protected client (start: CBS clients)</t>
        </is>
      </c>
      <c r="G80" s="27" t="inlineStr">
        <is>
          <t>Inject 5xx bursts at/above failure-rate threshold; then heal and observe half-open probing.</t>
        </is>
      </c>
      <c r="H80" s="27" t="inlineStr">
        <is>
          <t>Breaker opens at configured rate; fallback engages; half-open probes recover WITHOUT flapping under partial healing.</t>
        </is>
      </c>
      <c r="I80" s="27" t="inlineStr">
        <is>
          <t>Toxiproxy / app-level</t>
        </is>
      </c>
      <c r="J80" s="27" t="inlineStr">
        <is>
          <t>One client</t>
        </is>
      </c>
      <c r="K80" s="27" t="inlineStr">
        <is>
          <t>Flapping open/closed</t>
        </is>
      </c>
      <c r="L80" s="27" t="inlineStr">
        <is>
          <t>Config values empirically confirmed per client.</t>
        </is>
      </c>
      <c r="M80" s="27" t="inlineStr">
        <is>
          <t>Breaker state transitions visible + alarmed on open.</t>
        </is>
      </c>
      <c r="N80" s="27" t="inlineStr">
        <is>
          <t>High</t>
        </is>
      </c>
      <c r="O80" s="27" t="inlineStr">
        <is>
          <t>Config-level.</t>
        </is>
      </c>
      <c r="P80" s="27" t="n">
        <v>4</v>
      </c>
      <c r="Q80" s="27" t="n">
        <v>4</v>
      </c>
      <c r="R80" s="27">
        <f>P80*Q80</f>
        <v/>
      </c>
      <c r="S80" s="27" t="n">
        <v>1</v>
      </c>
      <c r="T80" s="27" t="n"/>
      <c r="U80" s="28" t="n"/>
      <c r="V80" s="28" t="n"/>
      <c r="W80" s="28" t="inlineStr">
        <is>
          <t>Proposed</t>
        </is>
      </c>
      <c r="X80" s="27">
        <f>IF(P80=5,"Almost Certain",IF(P80=4,"Likely",IF(P80=3,"Possible",IF(P80=2,"Unlikely","Rare"))))</f>
        <v/>
      </c>
      <c r="Y80" s="27">
        <f>IF(R80&gt;=16,"Critical",IF(R80&gt;=9,"High",IF(R80&gt;=4,"Medium","Opportunistic")))</f>
        <v/>
      </c>
    </row>
    <row r="81" ht="32.25" customHeight="1" s="19">
      <c r="A81" s="30" t="inlineStr">
        <is>
          <t>CE-APP-02</t>
        </is>
      </c>
      <c r="B81" s="27" t="inlineStr">
        <is>
          <t>Breaker trip — SLOW-CALL-rate path</t>
        </is>
      </c>
      <c r="C81" s="27" t="inlineStr">
        <is>
          <t>App Resilience</t>
        </is>
      </c>
      <c r="D81" s="27" t="inlineStr">
        <is>
          <t>Application</t>
        </is>
      </c>
      <c r="E81" s="27" t="inlineStr">
        <is>
          <t>Sync API</t>
        </is>
      </c>
      <c r="F81" s="27" t="inlineStr">
        <is>
          <t>Same clients as APP-01</t>
        </is>
      </c>
      <c r="G81" s="27" t="inlineStr">
        <is>
          <t>Inject latency (no errors) at/above slow-call threshold.</t>
        </is>
      </c>
      <c r="H81" s="27" t="inlineStr">
        <is>
          <t>Slow-call breaker path trips — DISTINCT config and code path from failure-rate; services with only failure-rate configured are found now, not in an incident.</t>
        </is>
      </c>
      <c r="I81" s="27" t="inlineStr">
        <is>
          <t>Toxiproxy latency</t>
        </is>
      </c>
      <c r="J81" s="27" t="inlineStr">
        <is>
          <t>One client</t>
        </is>
      </c>
      <c r="K81" s="27" t="inlineStr">
        <is>
          <t>Thread exhaustion</t>
        </is>
      </c>
      <c r="L81" s="27" t="inlineStr">
        <is>
          <t>Slow-call config presence/values confirmed per client.</t>
        </is>
      </c>
      <c r="M81" s="27" t="inlineStr">
        <is>
          <t>Slow-call breaker events distinguishable from error-trips.</t>
        </is>
      </c>
      <c r="N81" s="27" t="inlineStr">
        <is>
          <t>High</t>
        </is>
      </c>
      <c r="O81" s="27" t="inlineStr">
        <is>
          <t>—</t>
        </is>
      </c>
      <c r="P81" s="27" t="n">
        <v>4</v>
      </c>
      <c r="Q81" s="27" t="n">
        <v>5</v>
      </c>
      <c r="R81" s="27">
        <f>P81*Q81</f>
        <v/>
      </c>
      <c r="S81" s="27" t="n">
        <v>1</v>
      </c>
      <c r="T81" s="27" t="inlineStr">
        <is>
          <t>CE-APP-01</t>
        </is>
      </c>
      <c r="U81" s="28" t="n"/>
      <c r="V81" s="28" t="n"/>
      <c r="W81" s="28" t="inlineStr">
        <is>
          <t>Proposed</t>
        </is>
      </c>
      <c r="X81" s="27">
        <f>IF(P81=5,"Almost Certain",IF(P81=4,"Likely",IF(P81=3,"Possible",IF(P81=2,"Unlikely","Rare"))))</f>
        <v/>
      </c>
      <c r="Y81" s="27">
        <f>IF(R81&gt;=16,"Critical",IF(R81&gt;=9,"High",IF(R81&gt;=4,"Medium","Opportunistic")))</f>
        <v/>
      </c>
    </row>
    <row r="82" ht="32.25" customHeight="1" s="19">
      <c r="A82" s="30" t="inlineStr">
        <is>
          <t>CE-APP-03</t>
        </is>
      </c>
      <c r="B82" s="27" t="inlineStr">
        <is>
          <t>Retry amplification under partial failure</t>
        </is>
      </c>
      <c r="C82" s="27" t="inlineStr">
        <is>
          <t>App Resilience</t>
        </is>
      </c>
      <c r="D82" s="27" t="inlineStr">
        <is>
          <t>Application</t>
        </is>
      </c>
      <c r="E82" s="27" t="inlineStr">
        <is>
          <t>Sync API chain</t>
        </is>
      </c>
      <c r="F82" s="27" t="inlineStr">
        <is>
          <t>Multi-hop path (edge→API→CBS)</t>
        </is>
      </c>
      <c r="G82" s="27" t="inlineStr">
        <is>
          <t>30–50% downstream failure rate; observe retry multiplication up the chain.</t>
        </is>
      </c>
      <c r="H82" s="27" t="inlineStr">
        <is>
          <t>Retry budgets + jitter + breaker interplay cap amplification ≤ agreed factor; a 30% degradation cannot become 3x load (the classic self-DDoS).</t>
        </is>
      </c>
      <c r="I82" s="27" t="inlineStr">
        <is>
          <t>Toxiproxy partial failure</t>
        </is>
      </c>
      <c r="J82" s="27" t="inlineStr">
        <is>
          <t>One call chain</t>
        </is>
      </c>
      <c r="K82" s="27" t="inlineStr">
        <is>
          <t>Load amplification &gt;2x</t>
        </is>
      </c>
      <c r="L82" s="27" t="inlineStr">
        <is>
          <t>Amplification factor per chain measured.</t>
        </is>
      </c>
      <c r="M82" s="27" t="inlineStr">
        <is>
          <t>Retry-rate metrics visible per client.</t>
        </is>
      </c>
      <c r="N82" s="27" t="inlineStr">
        <is>
          <t>High</t>
        </is>
      </c>
      <c r="O82" s="27" t="inlineStr">
        <is>
          <t>—</t>
        </is>
      </c>
      <c r="P82" s="27" t="n">
        <v>4</v>
      </c>
      <c r="Q82" s="27" t="n">
        <v>5</v>
      </c>
      <c r="R82" s="27">
        <f>P82*Q82</f>
        <v/>
      </c>
      <c r="S82" s="27" t="n">
        <v>1</v>
      </c>
      <c r="T82" s="27" t="inlineStr">
        <is>
          <t>CE-APP-01</t>
        </is>
      </c>
      <c r="U82" s="28" t="n"/>
      <c r="V82" s="28" t="n"/>
      <c r="W82" s="28" t="inlineStr">
        <is>
          <t>Proposed</t>
        </is>
      </c>
      <c r="X82" s="27">
        <f>IF(P82=5,"Almost Certain",IF(P82=4,"Likely",IF(P82=3,"Possible",IF(P82=2,"Unlikely","Rare"))))</f>
        <v/>
      </c>
      <c r="Y82" s="27">
        <f>IF(R82&gt;=16,"Critical",IF(R82&gt;=9,"High",IF(R82&gt;=4,"Medium","Opportunistic")))</f>
        <v/>
      </c>
    </row>
    <row r="83" ht="32.25" customHeight="1" s="19">
      <c r="A83" s="30" t="inlineStr">
        <is>
          <t>CE-APP-04</t>
        </is>
      </c>
      <c r="B83" s="27" t="inlineStr">
        <is>
          <t>Bulkhead / thread-pool exhaustion</t>
        </is>
      </c>
      <c r="C83" s="27" t="inlineStr">
        <is>
          <t>App Resilience</t>
        </is>
      </c>
      <c r="D83" s="27" t="inlineStr">
        <is>
          <t>Application</t>
        </is>
      </c>
      <c r="E83" s="27" t="inlineStr">
        <is>
          <t>Sync API</t>
        </is>
      </c>
      <c r="F83" s="27" t="inlineStr">
        <is>
          <t>One service, multi-dependency</t>
        </is>
      </c>
      <c r="G83" s="27" t="inlineStr">
        <is>
          <t>Saturate one dependency's calls; verify OTHER endpoints of the same service stay healthy.</t>
        </is>
      </c>
      <c r="H83" s="27" t="inlineStr">
        <is>
          <t>Bulkhead isolation holds: one slow dependency cannot consume the shared thread pool and take down unrelated endpoints.</t>
        </is>
      </c>
      <c r="I83" s="27" t="inlineStr">
        <is>
          <t>Toxiproxy + load</t>
        </is>
      </c>
      <c r="J83" s="27" t="inlineStr">
        <is>
          <t>One service internals</t>
        </is>
      </c>
      <c r="K83" s="27" t="inlineStr">
        <is>
          <t>Unrelated endpoints failing</t>
        </is>
      </c>
      <c r="L83" s="27" t="inlineStr">
        <is>
          <t>Isolation proven or bulkhead gap found per service.</t>
        </is>
      </c>
      <c r="M83" s="27" t="inlineStr">
        <is>
          <t>Per-pool saturation metrics exposed.</t>
        </is>
      </c>
      <c r="N83" s="27" t="inlineStr">
        <is>
          <t>High</t>
        </is>
      </c>
      <c r="O83" s="27" t="inlineStr">
        <is>
          <t>—</t>
        </is>
      </c>
      <c r="P83" s="27" t="n">
        <v>3</v>
      </c>
      <c r="Q83" s="27" t="n">
        <v>4</v>
      </c>
      <c r="R83" s="27">
        <f>P83*Q83</f>
        <v/>
      </c>
      <c r="S83" s="27" t="n">
        <v>2</v>
      </c>
      <c r="T83" s="27" t="inlineStr">
        <is>
          <t>CE-APP-02</t>
        </is>
      </c>
      <c r="U83" s="28" t="n"/>
      <c r="V83" s="28" t="n"/>
      <c r="W83" s="28" t="inlineStr">
        <is>
          <t>Proposed</t>
        </is>
      </c>
      <c r="X83" s="27">
        <f>IF(P83=5,"Almost Certain",IF(P83=4,"Likely",IF(P83=3,"Possible",IF(P83=2,"Unlikely","Rare"))))</f>
        <v/>
      </c>
      <c r="Y83" s="27">
        <f>IF(R83&gt;=16,"Critical",IF(R83&gt;=9,"High",IF(R83&gt;=4,"Medium","Opportunistic")))</f>
        <v/>
      </c>
    </row>
    <row r="84" ht="32.25" customHeight="1" s="19">
      <c r="A84" s="30" t="inlineStr">
        <is>
          <t>CE-APP-05</t>
        </is>
      </c>
      <c r="B84" s="27" t="inlineStr">
        <is>
          <t>HikariCP pool exhaustion under downstream latency</t>
        </is>
      </c>
      <c r="C84" s="27" t="inlineStr">
        <is>
          <t>App Resilience</t>
        </is>
      </c>
      <c r="D84" s="27" t="inlineStr">
        <is>
          <t>Application</t>
        </is>
      </c>
      <c r="E84" s="27" t="inlineStr">
        <is>
          <t>Sync API</t>
        </is>
      </c>
      <c r="F84" s="27" t="inlineStr">
        <is>
          <t>One Aurora-heavy service</t>
        </is>
      </c>
      <c r="G84" s="27" t="inlineStr">
        <is>
          <t>Slow DB responses (Toxiproxy on DB path in PERF) until pool saturates.</t>
        </is>
      </c>
      <c r="H84" s="27" t="inlineStr">
        <is>
          <t>connectionTimeout fails-fast waiting threads per timeout chain; pool recovers without restart; sizing math validated against thread model.</t>
        </is>
      </c>
      <c r="I84" s="27" t="inlineStr">
        <is>
          <t>Toxiproxy on DB path</t>
        </is>
      </c>
      <c r="J84" s="27" t="inlineStr">
        <is>
          <t>One service</t>
        </is>
      </c>
      <c r="K84" s="27" t="inlineStr">
        <is>
          <t>Hang &gt; chain budget</t>
        </is>
      </c>
      <c r="L84" s="27" t="inlineStr">
        <is>
          <t>Pool config empirically validated (input to CE-DB-03).</t>
        </is>
      </c>
      <c r="M84" s="27" t="inlineStr">
        <is>
          <t>Pool wait/saturation alarmed before request failures.</t>
        </is>
      </c>
      <c r="N84" s="27" t="inlineStr">
        <is>
          <t>High</t>
        </is>
      </c>
      <c r="O84" s="27" t="inlineStr">
        <is>
          <t>—</t>
        </is>
      </c>
      <c r="P84" s="27" t="n">
        <v>3</v>
      </c>
      <c r="Q84" s="27" t="n">
        <v>4</v>
      </c>
      <c r="R84" s="27">
        <f>P84*Q84</f>
        <v/>
      </c>
      <c r="S84" s="27" t="n">
        <v>1</v>
      </c>
      <c r="T84" s="27" t="inlineStr">
        <is>
          <t>CE-EDGE-01</t>
        </is>
      </c>
      <c r="U84" s="28" t="n"/>
      <c r="V84" s="28" t="n"/>
      <c r="W84" s="28" t="inlineStr">
        <is>
          <t>Proposed</t>
        </is>
      </c>
      <c r="X84" s="27">
        <f>IF(P84=5,"Almost Certain",IF(P84=4,"Likely",IF(P84=3,"Possible",IF(P84=2,"Unlikely","Rare"))))</f>
        <v/>
      </c>
      <c r="Y84" s="27">
        <f>IF(R84&gt;=16,"Critical",IF(R84&gt;=9,"High",IF(R84&gt;=4,"Medium","Opportunistic")))</f>
        <v/>
      </c>
    </row>
    <row r="85" ht="32.25" customHeight="1" s="19">
      <c r="A85" s="30" t="inlineStr">
        <is>
          <t>CE-APP-06</t>
        </is>
      </c>
      <c r="B85" s="27" t="inlineStr">
        <is>
          <t>Heap pressure / GC brownout</t>
        </is>
      </c>
      <c r="C85" s="27" t="inlineStr">
        <is>
          <t>App Resilience</t>
        </is>
      </c>
      <c r="D85" s="27" t="inlineStr">
        <is>
          <t>Application</t>
        </is>
      </c>
      <c r="E85" s="27" t="inlineStr">
        <is>
          <t>Sync API</t>
        </is>
      </c>
      <c r="F85" s="27" t="inlineStr">
        <is>
          <t>One JVM service</t>
        </is>
      </c>
      <c r="G85" s="27" t="inlineStr">
        <is>
          <t>Gradual memory assault to force sustained GC pressure (not instant OOM — the gray zone).</t>
        </is>
      </c>
      <c r="H85" s="27" t="inlineStr">
        <is>
          <t>GC-driven latency degradation is detected and the task is recycled by health checks BEFORE prolonged brownout serving.</t>
        </is>
      </c>
      <c r="I85" s="27" t="inlineStr">
        <is>
          <t>Chaos Monkey for Spring Boot memory assault</t>
        </is>
      </c>
      <c r="J85" s="27" t="inlineStr">
        <is>
          <t>One task</t>
        </is>
      </c>
      <c r="K85" s="27" t="inlineStr">
        <is>
          <t>Brownout &gt; 5 min</t>
        </is>
      </c>
      <c r="L85" s="27" t="inlineStr">
        <is>
          <t>Health-check sensitivity to gray degradation proven.</t>
        </is>
      </c>
      <c r="M85" s="27" t="inlineStr">
        <is>
          <t>GC/latency correlation alerting exists.</t>
        </is>
      </c>
      <c r="N85" s="27" t="inlineStr">
        <is>
          <t>High</t>
        </is>
      </c>
      <c r="O85" s="27" t="inlineStr">
        <is>
          <t>—</t>
        </is>
      </c>
      <c r="P85" s="27" t="n">
        <v>3</v>
      </c>
      <c r="Q85" s="27" t="n">
        <v>3</v>
      </c>
      <c r="R85" s="27">
        <f>P85*Q85</f>
        <v/>
      </c>
      <c r="S85" s="27" t="n">
        <v>2</v>
      </c>
      <c r="T85" s="27" t="inlineStr">
        <is>
          <t>CE-COM-07</t>
        </is>
      </c>
      <c r="U85" s="28" t="n"/>
      <c r="V85" s="28" t="n"/>
      <c r="W85" s="28" t="inlineStr">
        <is>
          <t>Proposed</t>
        </is>
      </c>
      <c r="X85" s="27">
        <f>IF(P85=5,"Almost Certain",IF(P85=4,"Likely",IF(P85=3,"Possible",IF(P85=2,"Unlikely","Rare"))))</f>
        <v/>
      </c>
      <c r="Y85" s="27">
        <f>IF(R85&gt;=16,"Critical",IF(R85&gt;=9,"High",IF(R85&gt;=4,"Medium","Opportunistic")))</f>
        <v/>
      </c>
    </row>
    <row r="86" ht="32.25" customHeight="1" s="19">
      <c r="A86" s="30" t="inlineStr">
        <is>
          <t>CE-CMP-01</t>
        </is>
      </c>
      <c r="B86" s="27" t="inlineStr">
        <is>
          <t>Writer failover + saturated pools</t>
        </is>
      </c>
      <c r="C86" s="27" t="inlineStr">
        <is>
          <t>Compound</t>
        </is>
      </c>
      <c r="D86" s="27" t="inlineStr">
        <is>
          <t>Compound</t>
        </is>
      </c>
      <c r="E86" s="27" t="inlineStr">
        <is>
          <t>Sync API</t>
        </is>
      </c>
      <c r="F86" s="27" t="inlineStr">
        <is>
          <t>SAM + callers</t>
        </is>
      </c>
      <c r="G86" s="27" t="inlineStr">
        <is>
          <t>CE-DB-02 under CE-APP-05 preconditions — failover at worst moment.</t>
        </is>
      </c>
      <c r="H86" s="27" t="inlineStr">
        <is>
          <t>Combined recovery ≤ FMEA-assessed bound; no deadlock between reconnect storm and pool timeout behavior.</t>
        </is>
      </c>
      <c r="I86" s="27" t="inlineStr">
        <is>
          <t>FIS + Toxiproxy + load</t>
        </is>
      </c>
      <c r="J86" s="27" t="inlineStr">
        <is>
          <t>Core DB + callers</t>
        </is>
      </c>
      <c r="K86" s="27" t="inlineStr">
        <is>
          <t>Brownout &gt; bound</t>
        </is>
      </c>
      <c r="L86" s="27" t="inlineStr">
        <is>
          <t>Worst-case failover envelope quantified.</t>
        </is>
      </c>
      <c r="M86" s="27" t="inlineStr">
        <is>
          <t>Combined-fault telemetry still attributable.</t>
        </is>
      </c>
      <c r="N86" s="27" t="inlineStr">
        <is>
          <t>Low</t>
        </is>
      </c>
      <c r="O86" s="27" t="inlineStr">
        <is>
          <t>Capacity-sensitive — directional in PERF.</t>
        </is>
      </c>
      <c r="P86" s="27" t="n">
        <v>2</v>
      </c>
      <c r="Q86" s="27" t="n">
        <v>5</v>
      </c>
      <c r="R86" s="27">
        <f>P86*Q86</f>
        <v/>
      </c>
      <c r="S86" s="27" t="n">
        <v>3</v>
      </c>
      <c r="T86" s="27" t="inlineStr">
        <is>
          <t>CE-DB-02,CE-APP-05</t>
        </is>
      </c>
      <c r="U86" s="28" t="n"/>
      <c r="V86" s="28" t="n"/>
      <c r="W86" s="28" t="inlineStr">
        <is>
          <t>Proposed</t>
        </is>
      </c>
      <c r="X86" s="27">
        <f>IF(P86=5,"Almost Certain",IF(P86=4,"Likely",IF(P86=3,"Possible",IF(P86=2,"Unlikely","Rare"))))</f>
        <v/>
      </c>
      <c r="Y86" s="27">
        <f>IF(R86&gt;=16,"Critical",IF(R86&gt;=9,"High",IF(R86&gt;=4,"Medium","Opportunistic")))</f>
        <v/>
      </c>
    </row>
    <row r="87" ht="21.75" customHeight="1" s="19">
      <c r="A87" s="30" t="inlineStr">
        <is>
          <t>CE-CMP-02</t>
        </is>
      </c>
      <c r="B87" s="27" t="inlineStr">
        <is>
          <t>AZ loss during rolling deployment</t>
        </is>
      </c>
      <c r="C87" s="27" t="inlineStr">
        <is>
          <t>Compound</t>
        </is>
      </c>
      <c r="D87" s="27" t="inlineStr">
        <is>
          <t>Compound</t>
        </is>
      </c>
      <c r="E87" s="27" t="inlineStr">
        <is>
          <t>Sync API</t>
        </is>
      </c>
      <c r="F87" s="27" t="inlineStr">
        <is>
          <t>One service</t>
        </is>
      </c>
      <c r="G87" s="27" t="inlineStr">
        <is>
          <t>CE-NET-02 injected mid-deploy.</t>
        </is>
      </c>
      <c r="H87" s="27" t="inlineStr">
        <is>
          <t>min-healthy + AZ rebalance interact safely; deploy halts/rolls back rather than compounding capacity loss.</t>
        </is>
      </c>
      <c r="I87" s="27" t="inlineStr">
        <is>
          <t>FIS + pipeline</t>
        </is>
      </c>
      <c r="J87" s="27" t="inlineStr">
        <is>
          <t>One service</t>
        </is>
      </c>
      <c r="K87" s="27" t="inlineStr">
        <is>
          <t>Capacity &lt; floor</t>
        </is>
      </c>
      <c r="L87" s="27" t="inlineStr">
        <is>
          <t>Interaction proven safe.</t>
        </is>
      </c>
      <c r="M87" s="27" t="inlineStr">
        <is>
          <t>Operator can distinguish deploy vs AZ signal live.</t>
        </is>
      </c>
      <c r="N87" s="27" t="inlineStr">
        <is>
          <t>Medium</t>
        </is>
      </c>
      <c r="O87" s="27" t="inlineStr">
        <is>
          <t>—</t>
        </is>
      </c>
      <c r="P87" s="27" t="n">
        <v>2</v>
      </c>
      <c r="Q87" s="27" t="n">
        <v>4</v>
      </c>
      <c r="R87" s="27">
        <f>P87*Q87</f>
        <v/>
      </c>
      <c r="S87" s="27" t="n">
        <v>3</v>
      </c>
      <c r="T87" s="27" t="inlineStr">
        <is>
          <t>CE-NET-02,CE-COM-03</t>
        </is>
      </c>
      <c r="U87" s="28" t="n"/>
      <c r="V87" s="28" t="n"/>
      <c r="W87" s="28" t="inlineStr">
        <is>
          <t>Proposed</t>
        </is>
      </c>
      <c r="X87" s="27">
        <f>IF(P87=5,"Almost Certain",IF(P87=4,"Likely",IF(P87=3,"Possible",IF(P87=2,"Unlikely","Rare"))))</f>
        <v/>
      </c>
      <c r="Y87" s="27">
        <f>IF(R87&gt;=16,"Critical",IF(R87&gt;=9,"High",IF(R87&gt;=4,"Medium","Opportunistic")))</f>
        <v/>
      </c>
    </row>
    <row r="88" ht="21.75" customHeight="1" s="19">
      <c r="A88" s="30" t="inlineStr">
        <is>
          <t>CE-CMP-03</t>
        </is>
      </c>
      <c r="B88" s="27" t="inlineStr">
        <is>
          <t>Dependency latency + retry storm cascade</t>
        </is>
      </c>
      <c r="C88" s="27" t="inlineStr">
        <is>
          <t>Compound</t>
        </is>
      </c>
      <c r="D88" s="27" t="inlineStr">
        <is>
          <t>Compound</t>
        </is>
      </c>
      <c r="E88" s="27" t="inlineStr">
        <is>
          <t>Multi-service</t>
        </is>
      </c>
      <c r="F88" s="27" t="inlineStr">
        <is>
          <t>Edge→AFM→CBS chain</t>
        </is>
      </c>
      <c r="G88" s="27" t="inlineStr">
        <is>
          <t>CBS gray failure (EXT-02) + realistic edge traffic — watch the cascade attempt.</t>
        </is>
      </c>
      <c r="H88" s="27" t="inlineStr">
        <is>
          <t>Breakers + retry budgets contain the cascade at first hop; edge sheds gracefully; no cross-APG contagion.</t>
        </is>
      </c>
      <c r="I88" s="27" t="inlineStr">
        <is>
          <t>Toxiproxy + load</t>
        </is>
      </c>
      <c r="J88" s="27" t="inlineStr">
        <is>
          <t>One journey chain</t>
        </is>
      </c>
      <c r="K88" s="27" t="inlineStr">
        <is>
          <t>Contagion beyond chain</t>
        </is>
      </c>
      <c r="L88" s="27" t="inlineStr">
        <is>
          <t>Containment proven end-to-end — the marquee compound scenario.</t>
        </is>
      </c>
      <c r="M88" s="27" t="inlineStr">
        <is>
          <t>Cascade visible as coherent story in Dynatrace.</t>
        </is>
      </c>
      <c r="N88" s="27" t="inlineStr">
        <is>
          <t>Medium</t>
        </is>
      </c>
      <c r="O88" s="27" t="inlineStr">
        <is>
          <t>—</t>
        </is>
      </c>
      <c r="P88" s="27" t="n">
        <v>3</v>
      </c>
      <c r="Q88" s="27" t="n">
        <v>5</v>
      </c>
      <c r="R88" s="27">
        <f>P88*Q88</f>
        <v/>
      </c>
      <c r="S88" s="27" t="n">
        <v>3</v>
      </c>
      <c r="T88" s="27" t="inlineStr">
        <is>
          <t>CE-APP-02,CE-APP-03</t>
        </is>
      </c>
      <c r="U88" s="28" t="n"/>
      <c r="V88" s="28" t="n"/>
      <c r="W88" s="28" t="inlineStr">
        <is>
          <t>Proposed</t>
        </is>
      </c>
      <c r="X88" s="27">
        <f>IF(P88=5,"Almost Certain",IF(P88=4,"Likely",IF(P88=3,"Possible",IF(P88=2,"Unlikely","Rare"))))</f>
        <v/>
      </c>
      <c r="Y88" s="27">
        <f>IF(R88&gt;=16,"Critical",IF(R88&gt;=9,"High",IF(R88&gt;=4,"Medium","Opportunistic")))</f>
        <v/>
      </c>
    </row>
    <row r="89" ht="32.25" customHeight="1" s="19">
      <c r="A89" s="30" t="inlineStr">
        <is>
          <t>CE-CMP-04</t>
        </is>
      </c>
      <c r="B89" s="27" t="inlineStr">
        <is>
          <t>IDP platform outage — Kafka auth + API OAuth together</t>
        </is>
      </c>
      <c r="C89" s="27" t="inlineStr">
        <is>
          <t>Compound</t>
        </is>
      </c>
      <c r="D89" s="27" t="inlineStr">
        <is>
          <t>Compound</t>
        </is>
      </c>
      <c r="E89" s="27" t="inlineStr">
        <is>
          <t>Cross-cutting</t>
        </is>
      </c>
      <c r="F89" s="27" t="inlineStr">
        <is>
          <t>All IDP consumers</t>
        </is>
      </c>
      <c r="G89" s="27" t="inlineStr">
        <is>
          <t>Simulate ADFS-IDP unavailable: Kafka OAUTHBEARER (KFK-07) AND TE ingress (EXT-09) simultaneously — IDP is a shared single point.</t>
        </is>
      </c>
      <c r="H89" s="27" t="inlineStr">
        <is>
          <t>Session/token caching keeps platform functional for cache lifetime; degradation is gradual and alarmed, not cliff-edge; recovery has no auth stampede.</t>
        </is>
      </c>
      <c r="I89" s="27" t="inlineStr">
        <is>
          <t>Custom coordinated block</t>
        </is>
      </c>
      <c r="J89" s="27" t="inlineStr">
        <is>
          <t>Platform-wide auth</t>
        </is>
      </c>
      <c r="K89" s="27" t="inlineStr">
        <is>
          <t>Cliff-edge failure</t>
        </is>
      </c>
      <c r="L89" s="27" t="inlineStr">
        <is>
          <t>IDP blast radius fully mapped — leadership-grade finding either way.</t>
        </is>
      </c>
      <c r="M89" s="27" t="inlineStr">
        <is>
          <t>Platform-auth degradation has a single coherent alert story.</t>
        </is>
      </c>
      <c r="N89" s="27" t="inlineStr">
        <is>
          <t>Medium</t>
        </is>
      </c>
      <c r="O89" s="27" t="inlineStr">
        <is>
          <t>Coordinate scope with platform team.</t>
        </is>
      </c>
      <c r="P89" s="27" t="n">
        <v>2</v>
      </c>
      <c r="Q89" s="27" t="n">
        <v>5</v>
      </c>
      <c r="R89" s="27">
        <f>P89*Q89</f>
        <v/>
      </c>
      <c r="S89" s="27" t="n">
        <v>3</v>
      </c>
      <c r="T89" s="27" t="inlineStr">
        <is>
          <t>CE-KFK-07,CE-EXT-09</t>
        </is>
      </c>
      <c r="U89" s="28" t="n"/>
      <c r="V89" s="28" t="n"/>
      <c r="W89" s="28" t="inlineStr">
        <is>
          <t>Proposed</t>
        </is>
      </c>
      <c r="X89" s="27">
        <f>IF(P89=5,"Almost Certain",IF(P89=4,"Likely",IF(P89=3,"Possible",IF(P89=2,"Unlikely","Rare"))))</f>
        <v/>
      </c>
      <c r="Y89" s="27">
        <f>IF(R89&gt;=16,"Critical",IF(R89&gt;=9,"High",IF(R89&gt;=4,"Medium","Opportunistic")))</f>
        <v/>
      </c>
    </row>
    <row r="90" ht="32.25" customHeight="1" s="19">
      <c r="A90" s="30" t="inlineStr">
        <is>
          <t>CE-CMP-05</t>
        </is>
      </c>
      <c r="B90" s="27" t="inlineStr">
        <is>
          <t>Regional failover + cold cache + Aurora capacity</t>
        </is>
      </c>
      <c r="C90" s="27" t="inlineStr">
        <is>
          <t>Compound</t>
        </is>
      </c>
      <c r="D90" s="27" t="inlineStr">
        <is>
          <t>Compound</t>
        </is>
      </c>
      <c r="E90" s="27" t="inlineStr">
        <is>
          <t>All</t>
        </is>
      </c>
      <c r="F90" s="27" t="inlineStr">
        <is>
          <t>Surviving region</t>
        </is>
      </c>
      <c r="G90" s="27" t="inlineStr">
        <is>
          <t>CE-CACHE-07 amplification during actual regional cutover load shift.</t>
        </is>
      </c>
      <c r="H90" s="27" t="inlineStr">
        <is>
          <t>Surviving-region Aurora absorbs (shifted load × cold-cache amplification factor from CACHE-02/04) with headroom.</t>
        </is>
      </c>
      <c r="I90" s="27" t="inlineStr">
        <is>
          <t>Drill component within REG scope</t>
        </is>
      </c>
      <c r="J90" s="27" t="inlineStr">
        <is>
          <t>Surviving region</t>
        </is>
      </c>
      <c r="K90" s="27" t="inlineStr">
        <is>
          <t>Aurora saturation</t>
        </is>
      </c>
      <c r="L90" s="27" t="inlineStr">
        <is>
          <t>DR capacity model validated with measured amplification, not assumptions.</t>
        </is>
      </c>
      <c r="M90" s="27" t="inlineStr">
        <is>
          <t>Capacity-headroom alarms lead errors.</t>
        </is>
      </c>
      <c r="N90" s="27" t="inlineStr">
        <is>
          <t>Low</t>
        </is>
      </c>
      <c r="O90" s="27" t="inlineStr">
        <is>
          <t>Capacity-sensitive.</t>
        </is>
      </c>
      <c r="P90" s="27" t="n">
        <v>2</v>
      </c>
      <c r="Q90" s="27" t="n">
        <v>5</v>
      </c>
      <c r="R90" s="27">
        <f>P90*Q90</f>
        <v/>
      </c>
      <c r="S90" s="27" t="n">
        <v>4</v>
      </c>
      <c r="T90" s="27" t="inlineStr">
        <is>
          <t>CE-CACHE-07,CE-REG-02</t>
        </is>
      </c>
      <c r="U90" s="28" t="n"/>
      <c r="V90" s="28" t="n"/>
      <c r="W90" s="28" t="inlineStr">
        <is>
          <t>Proposed</t>
        </is>
      </c>
      <c r="X90" s="27">
        <f>IF(P90=5,"Almost Certain",IF(P90=4,"Likely",IF(P90=3,"Possible",IF(P90=2,"Unlikely","Rare"))))</f>
        <v/>
      </c>
      <c r="Y90" s="27">
        <f>IF(R90&gt;=16,"Critical",IF(R90&gt;=9,"High",IF(R90&gt;=4,"Medium","Opportunistic")))</f>
        <v/>
      </c>
    </row>
    <row r="91" ht="42.75" customHeight="1" s="19">
      <c r="A91" s="30" t="inlineStr">
        <is>
          <t>CE-CMP-06</t>
        </is>
      </c>
      <c r="B91" s="27" t="inlineStr">
        <is>
          <t>GAME DAY — region impairment during peak posting window</t>
        </is>
      </c>
      <c r="C91" s="27" t="inlineStr">
        <is>
          <t>Compound</t>
        </is>
      </c>
      <c r="D91" s="27" t="inlineStr">
        <is>
          <t>Compound</t>
        </is>
      </c>
      <c r="E91" s="27" t="inlineStr">
        <is>
          <t>All + Orchestrator</t>
        </is>
      </c>
      <c r="F91" s="27" t="inlineStr">
        <is>
          <t>Full journey scope incl. dr-orchestrator, DTR</t>
        </is>
      </c>
      <c r="G91" s="27" t="inlineStr">
        <is>
          <t>Full narrative: region degrades during peak activity approaching EOD; alarm-triggered orchestrated failover; recon window at risk; on-call drives.</t>
        </is>
      </c>
      <c r="H91" s="27" t="inlineStr">
        <is>
          <t>The PROGRAM's thesis: journeys survive a realistic worst-day with degraded-not-down UX, correct data, recon completing late-but-right, and humans in control throughout.</t>
        </is>
      </c>
      <c r="I91" s="27" t="inlineStr">
        <is>
          <t>Game day (all prior tooling)</t>
        </is>
      </c>
      <c r="J91" s="27" t="inlineStr">
        <is>
          <t>Full PERF estate</t>
        </is>
      </c>
      <c r="K91" s="27" t="inlineStr">
        <is>
          <t>Safety/abort per runbook</t>
        </is>
      </c>
      <c r="L91" s="27" t="inlineStr">
        <is>
          <t>End-to-end evidence pack for leadership — the capstone.</t>
        </is>
      </c>
      <c r="M91" s="27" t="inlineStr">
        <is>
          <t>Full-stack observability tells one coherent story.</t>
        </is>
      </c>
      <c r="N91" s="27" t="inlineStr">
        <is>
          <t>Medium</t>
        </is>
      </c>
      <c r="O91" s="27" t="inlineStr">
        <is>
          <t>Capstone — requires Waves 1–3 confirmed.</t>
        </is>
      </c>
      <c r="P91" s="27" t="n">
        <v>1</v>
      </c>
      <c r="Q91" s="27" t="n">
        <v>5</v>
      </c>
      <c r="R91" s="27">
        <f>P91*Q91</f>
        <v/>
      </c>
      <c r="S91" s="27" t="n">
        <v>4</v>
      </c>
      <c r="T91" s="27" t="inlineStr">
        <is>
          <t>CE-REG-02,CE-REG-07,CE-CMP-03,CE-OBS-04</t>
        </is>
      </c>
      <c r="U91" s="28" t="n"/>
      <c r="V91" s="28" t="n"/>
      <c r="W91" s="28" t="inlineStr">
        <is>
          <t>Proposed</t>
        </is>
      </c>
      <c r="X91" s="27">
        <f>IF(P91=5,"Almost Certain",IF(P91=4,"Likely",IF(P91=3,"Possible",IF(P91=2,"Unlikely","Rare"))))</f>
        <v/>
      </c>
      <c r="Y91" s="27">
        <f>IF(R91&gt;=16,"Critical",IF(R91&gt;=9,"High",IF(R91&gt;=4,"Medium","Opportunistic")))</f>
        <v/>
      </c>
    </row>
  </sheetData>
  <autoFilter ref="A1:Y91"/>
  <conditionalFormatting sqref="P2:P91">
    <cfRule type="colorScale" priority="2">
      <colorScale>
        <cfvo type="min" val="0"/>
        <cfvo type="percentile" val="50"/>
        <cfvo type="max" val="0"/>
        <color rgb="FFFFFFFF"/>
        <color rgb="FF9DC3E6"/>
        <color rgb="FF1F4E78"/>
      </colorScale>
    </cfRule>
  </conditionalFormatting>
  <conditionalFormatting sqref="R2:R91">
    <cfRule type="colorScale" priority="3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8" min="1" max="1"/>
    <col width="10" customWidth="1" style="18" min="2" max="2"/>
    <col width="16" customWidth="1" style="18" min="3" max="3"/>
    <col width="100" customWidth="1" style="18" min="4" max="4"/>
  </cols>
  <sheetData>
    <row r="1" ht="15" customHeight="1" s="19">
      <c r="A1" s="26" t="inlineStr">
        <is>
          <t>Dimension</t>
        </is>
      </c>
      <c r="B1" s="26" t="inlineStr">
        <is>
          <t>Score</t>
        </is>
      </c>
      <c r="C1" s="26" t="inlineStr">
        <is>
          <t>Tier / Label</t>
        </is>
      </c>
      <c r="D1" s="26" t="inlineStr">
        <is>
          <t>Definition</t>
        </is>
      </c>
    </row>
    <row r="2" ht="15" customHeight="1" s="19">
      <c r="A2" s="30" t="inlineStr">
        <is>
          <t>Likelihood</t>
        </is>
      </c>
      <c r="B2" s="27" t="inlineStr">
        <is>
          <t>5</t>
        </is>
      </c>
      <c r="C2" s="27" t="inlineStr">
        <is>
          <t>Almost Certain</t>
        </is>
      </c>
      <c r="D2" s="27" t="inlineStr">
        <is>
          <t>Expected routinely in normal operations (task recycles, single-node events, transient dependency errors).</t>
        </is>
      </c>
    </row>
    <row r="3" ht="15" customHeight="1" s="19">
      <c r="A3" s="30" t="inlineStr">
        <is>
          <t>Likelihood</t>
        </is>
      </c>
      <c r="B3" s="27" t="inlineStr">
        <is>
          <t>4</t>
        </is>
      </c>
      <c r="C3" s="27" t="inlineStr">
        <is>
          <t>Likely</t>
        </is>
      </c>
      <c r="D3" s="27" t="inlineStr">
        <is>
          <t>Expected multiple times per year (consumer rebalances, duplicate event delivery, malformed inputs, gray dependency latency).</t>
        </is>
      </c>
    </row>
    <row r="4" ht="15" customHeight="1" s="19">
      <c r="A4" s="30" t="inlineStr">
        <is>
          <t>Likelihood</t>
        </is>
      </c>
      <c r="B4" s="27" t="inlineStr">
        <is>
          <t>3</t>
        </is>
      </c>
      <c r="C4" s="27" t="inlineStr">
        <is>
          <t>Possible</t>
        </is>
      </c>
      <c r="D4" s="27" t="inlineStr">
        <is>
          <t>Plausible annually (writer failover, cache failover, AZ impairment, message-broker outage, throttling events).</t>
        </is>
      </c>
    </row>
    <row r="5" ht="15" customHeight="1" s="19">
      <c r="A5" s="30" t="inlineStr">
        <is>
          <t>Likelihood</t>
        </is>
      </c>
      <c r="B5" s="27" t="inlineStr">
        <is>
          <t>2</t>
        </is>
      </c>
      <c r="C5" s="27" t="inlineStr">
        <is>
          <t>Unlikely</t>
        </is>
      </c>
      <c r="D5" s="27" t="inlineStr">
        <is>
          <t>Rare but credible (regional service degradation, IAM/KMS policy faults, identity-provider outage, proxy endpoint loss).</t>
        </is>
      </c>
    </row>
    <row r="6" ht="15" customHeight="1" s="19">
      <c r="A6" s="30" t="inlineStr">
        <is>
          <t>Likelihood</t>
        </is>
      </c>
      <c r="B6" s="27" t="inlineStr">
        <is>
          <t>1</t>
        </is>
      </c>
      <c r="C6" s="27" t="inlineStr">
        <is>
          <t>Rare</t>
        </is>
      </c>
      <c r="D6" s="27" t="inlineStr">
        <is>
          <t>Exceptional (full region loss, orchestrator failure mid-failover).</t>
        </is>
      </c>
    </row>
    <row r="7" ht="21.75" customHeight="1" s="19">
      <c r="A7" s="30" t="inlineStr">
        <is>
          <t>Severity</t>
        </is>
      </c>
      <c r="B7" s="27" t="inlineStr">
        <is>
          <t>5</t>
        </is>
      </c>
      <c r="C7" s="27" t="n"/>
      <c r="D7" s="27" t="inlineStr">
        <is>
          <t>Data integrity / financial correctness at risk (duplicate writes, incorrect reconciliation, split-brain writes) OR platform-wide outage OR a missed critical processing obligation.</t>
        </is>
      </c>
    </row>
    <row r="8" ht="15" customHeight="1" s="19">
      <c r="A8" s="30" t="inlineStr">
        <is>
          <t>Severity</t>
        </is>
      </c>
      <c r="B8" s="27" t="inlineStr">
        <is>
          <t>4</t>
        </is>
      </c>
      <c r="C8" s="27" t="n"/>
      <c r="D8" s="27" t="inlineStr">
        <is>
          <t>Journey outage or major degradation for one or more critical journeys; unrecoverable-without-human events.</t>
        </is>
      </c>
    </row>
    <row r="9" ht="15" customHeight="1" s="19">
      <c r="A9" s="30" t="inlineStr">
        <is>
          <t>Severity</t>
        </is>
      </c>
      <c r="B9" s="27" t="inlineStr">
        <is>
          <t>3</t>
        </is>
      </c>
      <c r="C9" s="27" t="n"/>
      <c r="D9" s="27" t="inlineStr">
        <is>
          <t>Single-service degradation with journey-level slowdown; self-healing expected.</t>
        </is>
      </c>
    </row>
    <row r="10" ht="15" customHeight="1" s="19">
      <c r="A10" s="30" t="inlineStr">
        <is>
          <t>Severity</t>
        </is>
      </c>
      <c r="B10" s="27" t="inlineStr">
        <is>
          <t>2</t>
        </is>
      </c>
      <c r="C10" s="27" t="n"/>
      <c r="D10" s="27" t="inlineStr">
        <is>
          <t>Localized, transient, absorbed by redundancy; customer-invisible if systems behave.</t>
        </is>
      </c>
    </row>
    <row r="11" ht="15" customHeight="1" s="19">
      <c r="A11" s="30" t="inlineStr">
        <is>
          <t>Severity</t>
        </is>
      </c>
      <c r="B11" s="27" t="inlineStr">
        <is>
          <t>1</t>
        </is>
      </c>
      <c r="C11" s="27" t="n"/>
      <c r="D11" s="27" t="inlineStr">
        <is>
          <t>Negligible customer/system impact; hygiene validation.</t>
        </is>
      </c>
    </row>
    <row r="12" ht="21.75" customHeight="1" s="19">
      <c r="A12" s="30" t="inlineStr">
        <is>
          <t>Priority</t>
        </is>
      </c>
      <c r="B12" s="27" t="inlineStr">
        <is>
          <t>L × S</t>
        </is>
      </c>
      <c r="C12" s="27" t="n"/>
      <c r="D12" s="27" t="inlineStr">
        <is>
          <t>Computed in the catalog (column R) as Likelihood × Severity. Risk Rating (column Y): 16–25 = Critical; 9–15 = High; 4–8 = Medium; 1–3 = Opportunistic.</t>
        </is>
      </c>
    </row>
    <row r="13" ht="21.75" customHeight="1" s="19">
      <c r="A13" s="30" t="inlineStr">
        <is>
          <t>Wave</t>
        </is>
      </c>
      <c r="B13" s="27" t="inlineStr">
        <is>
          <t>1</t>
        </is>
      </c>
      <c r="C13" s="27" t="inlineStr">
        <is>
          <t>Foundation</t>
        </is>
      </c>
      <c r="D13" s="27" t="inlineStr">
        <is>
          <t>Detection baseline + isolated singles with contained blast radius + integrity-critical logic tests (idempotency, dual-trigger, breaker paths, timeout chain).</t>
        </is>
      </c>
    </row>
    <row r="14" ht="15" customHeight="1" s="19">
      <c r="A14" s="30" t="inlineStr">
        <is>
          <t>Wave</t>
        </is>
      </c>
      <c r="B14" s="27" t="inlineStr">
        <is>
          <t>2</t>
        </is>
      </c>
      <c r="C14" s="27" t="inlineStr">
        <is>
          <t>Breadth</t>
        </is>
      </c>
      <c r="D14" s="27" t="inlineStr">
        <is>
          <t>Remaining singles across all fault domains; infra faults needing custom tooling; external-dependency injection.</t>
        </is>
      </c>
    </row>
    <row r="15" ht="15" customHeight="1" s="19">
      <c r="A15" s="30" t="inlineStr">
        <is>
          <t>Wave</t>
        </is>
      </c>
      <c r="B15" s="27" t="inlineStr">
        <is>
          <t>3</t>
        </is>
      </c>
      <c r="C15" s="27" t="inlineStr">
        <is>
          <t>Depth</t>
        </is>
      </c>
      <c r="D15" s="27" t="inlineStr">
        <is>
          <t>Compounds + coordination-heavy scenarios; on-call drills. Entry: prerequisite singles Confirmed.</t>
        </is>
      </c>
    </row>
    <row r="16" ht="21.75" customHeight="1" s="19">
      <c r="A16" s="30" t="inlineStr">
        <is>
          <t>Wave</t>
        </is>
      </c>
      <c r="B16" s="27" t="inlineStr">
        <is>
          <t>4</t>
        </is>
      </c>
      <c r="C16" s="27" t="inlineStr">
        <is>
          <t>Capstone</t>
        </is>
      </c>
      <c r="D16" s="27" t="inlineStr">
        <is>
          <t>Region/DR drills, orchestrated-failover under test, pilot-light/DR-posture activation, capstone game day. Entry: Waves 1–3 evidence pack + stakeholder sign-off.</t>
        </is>
      </c>
    </row>
    <row r="17" ht="32.25" customHeight="1" s="19">
      <c r="A17" s="30" t="inlineStr">
        <is>
          <t>Rule</t>
        </is>
      </c>
      <c r="B17" s="27" t="inlineStr">
        <is>
          <t>—</t>
        </is>
      </c>
      <c r="C17" s="27" t="n"/>
      <c r="D17" s="27" t="inlineStr">
        <is>
          <t>A scenario's Wave may never precede any of its Prereq IDs' waves. Likelihood/Severity are proposals — recalibrate against your organization's incident history / FMEA ledger during the FMEA-Ref mapping pass, and again once the code/infra scan (see App &amp; Infra Scan Instructions tabs) produces real evidence.</t>
        </is>
      </c>
    </row>
    <row r="18"/>
    <row r="19" ht="15" customHeight="1" s="19">
      <c r="A19" s="31" t="inlineStr">
        <is>
          <t>Likelihood Tier Distribution (live from Scenario Catalog)</t>
        </is>
      </c>
    </row>
    <row r="20" ht="15" customHeight="1" s="19">
      <c r="A20" s="26" t="inlineStr">
        <is>
          <t>Tier</t>
        </is>
      </c>
      <c r="B20" s="26" t="inlineStr">
        <is>
          <t>Count</t>
        </is>
      </c>
    </row>
    <row r="21" ht="15" customHeight="1" s="19">
      <c r="A21" s="30" t="inlineStr">
        <is>
          <t>Almost Certain</t>
        </is>
      </c>
      <c r="B21" s="27">
        <f>COUNTIF('Scenario Catalog'!$X$2:$X$91,A21)</f>
        <v/>
      </c>
    </row>
    <row r="22" ht="15" customHeight="1" s="19">
      <c r="A22" s="30" t="inlineStr">
        <is>
          <t>Likely</t>
        </is>
      </c>
      <c r="B22" s="27">
        <f>COUNTIF('Scenario Catalog'!$X$2:$X$91,A22)</f>
        <v/>
      </c>
    </row>
    <row r="23" ht="15" customHeight="1" s="19">
      <c r="A23" s="30" t="inlineStr">
        <is>
          <t>Possible</t>
        </is>
      </c>
      <c r="B23" s="27">
        <f>COUNTIF('Scenario Catalog'!$X$2:$X$91,A23)</f>
        <v/>
      </c>
    </row>
    <row r="24" ht="15" customHeight="1" s="19">
      <c r="A24" s="30" t="inlineStr">
        <is>
          <t>Unlikely</t>
        </is>
      </c>
      <c r="B24" s="27">
        <f>COUNTIF('Scenario Catalog'!$X$2:$X$91,A24)</f>
        <v/>
      </c>
    </row>
    <row r="25" ht="15" customHeight="1" s="19">
      <c r="A25" s="30" t="inlineStr">
        <is>
          <t>Rare</t>
        </is>
      </c>
      <c r="B25" s="27">
        <f>COUNTIF('Scenario Catalog'!$X$2:$X$91,A25)</f>
        <v/>
      </c>
    </row>
    <row r="26" ht="15" customHeight="1" s="19">
      <c r="A26" s="30" t="inlineStr">
        <is>
          <t>Total</t>
        </is>
      </c>
      <c r="B26" s="30">
        <f>SUM(B21:B25)</f>
        <v/>
      </c>
    </row>
    <row r="27"/>
    <row r="28"/>
    <row r="29" ht="15" customHeight="1" s="19">
      <c r="A29" s="31" t="inlineStr">
        <is>
          <t>Risk Rating Distribution (live from Scenario Catalog)</t>
        </is>
      </c>
    </row>
    <row r="30" ht="15" customHeight="1" s="19">
      <c r="A30" s="26" t="inlineStr">
        <is>
          <t>Rating</t>
        </is>
      </c>
      <c r="B30" s="26" t="inlineStr">
        <is>
          <t>Count</t>
        </is>
      </c>
    </row>
    <row r="31" ht="15" customHeight="1" s="19">
      <c r="A31" s="30" t="inlineStr">
        <is>
          <t>Critical</t>
        </is>
      </c>
      <c r="B31" s="27">
        <f>COUNTIF('Scenario Catalog'!$Y$2:$Y$91,A31)</f>
        <v/>
      </c>
    </row>
    <row r="32" ht="15" customHeight="1" s="19">
      <c r="A32" s="30" t="inlineStr">
        <is>
          <t>High</t>
        </is>
      </c>
      <c r="B32" s="27">
        <f>COUNTIF('Scenario Catalog'!$Y$2:$Y$91,A32)</f>
        <v/>
      </c>
    </row>
    <row r="33" ht="15" customHeight="1" s="19">
      <c r="A33" s="30" t="inlineStr">
        <is>
          <t>Medium</t>
        </is>
      </c>
      <c r="B33" s="27">
        <f>COUNTIF('Scenario Catalog'!$Y$2:$Y$91,A33)</f>
        <v/>
      </c>
    </row>
    <row r="34" ht="15" customHeight="1" s="19">
      <c r="A34" s="30" t="inlineStr">
        <is>
          <t>Opportunistic</t>
        </is>
      </c>
      <c r="B34" s="27">
        <f>COUNTIF('Scenario Catalog'!$Y$2:$Y$91,A34)</f>
        <v/>
      </c>
    </row>
    <row r="35" ht="15" customHeight="1" s="19">
      <c r="A35" s="30" t="inlineStr">
        <is>
          <t>Total</t>
        </is>
      </c>
      <c r="B35" s="30">
        <f>SUM(B31:B34)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8" min="1" max="1"/>
    <col width="42" customWidth="1" style="18" min="2" max="2"/>
    <col width="44" customWidth="1" style="18" min="3" max="4"/>
    <col width="15" customWidth="1" style="18" min="5" max="6"/>
  </cols>
  <sheetData>
    <row r="1" ht="23.25" customHeight="1" s="19">
      <c r="A1" s="26" t="inlineStr">
        <is>
          <t>Wave</t>
        </is>
      </c>
      <c r="B1" s="26" t="inlineStr">
        <is>
          <t>Theme</t>
        </is>
      </c>
      <c r="C1" s="26" t="inlineStr">
        <is>
          <t>Entry Criteria</t>
        </is>
      </c>
      <c r="D1" s="26" t="inlineStr">
        <is>
          <t>Exit Criteria</t>
        </is>
      </c>
      <c r="E1" s="26" t="inlineStr">
        <is>
          <t># Scenarios (live)</t>
        </is>
      </c>
      <c r="F1" s="26" t="inlineStr">
        <is>
          <t>Sum Priority (live)</t>
        </is>
      </c>
    </row>
    <row r="2" ht="32.25" customHeight="1" s="19">
      <c r="A2" s="30" t="n">
        <v>1</v>
      </c>
      <c r="B2" s="27" t="inlineStr">
        <is>
          <t>Detection baseline + contained singles + integrity logic (idempotency, dual-trigger, breaker both paths, timeout chain, DSM state, recon restart)</t>
        </is>
      </c>
      <c r="C2" s="27" t="inlineStr">
        <is>
          <t>PERF load harness ready; FIS onboarded; Dynatrace/CloudWatch access for evidence capture; game-day runbook + abort authority named.</t>
        </is>
      </c>
      <c r="D2" s="27" t="inlineStr">
        <is>
          <t>≥80% of Wave-1 scenarios Executed; detection scorecard (CE-OBS-01) published; findings triaged into FMEA ledger; steady-state gaps listed.</t>
        </is>
      </c>
      <c r="E2" s="27">
        <f>COUNTIF('Scenario Catalog'!$S$2:$S$91,A2)</f>
        <v/>
      </c>
      <c r="F2" s="27">
        <f>SUMIF('Scenario Catalog'!$S$2:$S$91,A2,'Scenario Catalog'!$R$2:$R$91)</f>
        <v/>
      </c>
    </row>
    <row r="3" ht="42.75" customHeight="1" s="19">
      <c r="A3" s="30" t="n">
        <v>2</v>
      </c>
      <c r="B3" s="27" t="inlineStr">
        <is>
          <t>Full single-fault breadth: data/cache/kafka/pipeline/network/edge/external/config</t>
        </is>
      </c>
      <c r="C3" s="27" t="inlineStr">
        <is>
          <t>Wave-1 exit met; custom tooling built (Toxiproxy layer, IAM/KMS/ASM deny scripts, file injectors, event suppressors); FIS Fargate network actions confirmed or tc-fallback ready.</t>
        </is>
      </c>
      <c r="D3" s="27" t="inlineStr">
        <is>
          <t>All fault domains have ≥1 Confirmed scenario; per-service resilience-config truth table (breaker/retry/pool) published.</t>
        </is>
      </c>
      <c r="E3" s="27">
        <f>COUNTIF('Scenario Catalog'!$S$2:$S$91,A3)</f>
        <v/>
      </c>
      <c r="F3" s="27">
        <f>SUMIF('Scenario Catalog'!$S$2:$S$91,A3,'Scenario Catalog'!$R$2:$R$91)</f>
        <v/>
      </c>
    </row>
    <row r="4" ht="32.25" customHeight="1" s="19">
      <c r="A4" s="30" t="n">
        <v>3</v>
      </c>
      <c r="B4" s="27" t="inlineStr">
        <is>
          <t>Compounds, cascades, on-call drills</t>
        </is>
      </c>
      <c r="C4" s="27" t="inlineStr">
        <is>
          <t>Prereq singles Confirmed; blast-radius model per compound approved; alarm owners engaged (CE-OBS-02 done).</t>
        </is>
      </c>
      <c r="D4" s="27" t="inlineStr">
        <is>
          <t>Compound envelope evidence (failover-under-saturation, cascade containment, IDP blast radius); MTTD/MTTI baseline from drills.</t>
        </is>
      </c>
      <c r="E4" s="27">
        <f>COUNTIF('Scenario Catalog'!$S$2:$S$91,A4)</f>
        <v/>
      </c>
      <c r="F4" s="27">
        <f>SUMIF('Scenario Catalog'!$S$2:$S$91,A4,'Scenario Catalog'!$R$2:$R$91)</f>
        <v/>
      </c>
    </row>
    <row r="5" ht="32.25" customHeight="1" s="19">
      <c r="A5" s="30" t="n">
        <v>4</v>
      </c>
      <c r="B5" s="27" t="inlineStr">
        <is>
          <t>Region/DR: R53, orchestrated failover, orchestrator-under-test, pilot light, mid-recon failover, capstone game day</t>
        </is>
      </c>
      <c r="C5" s="27" t="inlineStr">
        <is>
          <t>Waves 1–3 evidence pack; leadership sign-off; dr-orchestrator PERF parity confirmed; rollback/abort rehearsed.</t>
        </is>
      </c>
      <c r="D5" s="27" t="inlineStr">
        <is>
          <t>RTO/RPO evidence per DR posture (A/A, A/P, 3-Active, Pilot Light); capstone game-day report — the program's leadership deliverable.</t>
        </is>
      </c>
      <c r="E5" s="27">
        <f>COUNTIF('Scenario Catalog'!$S$2:$S$91,A5)</f>
        <v/>
      </c>
      <c r="F5" s="27">
        <f>SUMIF('Scenario Catalog'!$S$2:$S$91,A5,'Scenario Catalog'!$R$2:$R$91)</f>
        <v/>
      </c>
    </row>
    <row r="6" ht="15" customHeight="1" s="19">
      <c r="A6" s="27" t="n"/>
      <c r="B6" s="30" t="inlineStr">
        <is>
          <t>TOTAL</t>
        </is>
      </c>
      <c r="C6" s="27" t="n"/>
      <c r="D6" s="27" t="n"/>
      <c r="E6" s="30">
        <f>SUM(E2:E5)</f>
        <v/>
      </c>
      <c r="F6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10" customWidth="1" style="18" min="2" max="6"/>
  </cols>
  <sheetData>
    <row r="1" ht="15" customHeight="1" s="19">
      <c r="A1" s="22" t="inlineStr">
        <is>
          <t>Scenario counts by Fault Domain × Wave (live from catalog)</t>
        </is>
      </c>
    </row>
    <row r="2" ht="15" customHeight="1" s="19">
      <c r="A2" s="26" t="inlineStr">
        <is>
          <t>Fault Domain</t>
        </is>
      </c>
      <c r="B2" s="26" t="inlineStr">
        <is>
          <t>Wave 1</t>
        </is>
      </c>
      <c r="C2" s="26" t="inlineStr">
        <is>
          <t>Wave 2</t>
        </is>
      </c>
      <c r="D2" s="26" t="inlineStr">
        <is>
          <t>Wave 3</t>
        </is>
      </c>
      <c r="E2" s="26" t="inlineStr">
        <is>
          <t>Wave 4</t>
        </is>
      </c>
      <c r="F2" s="26" t="inlineStr">
        <is>
          <t>Total</t>
        </is>
      </c>
    </row>
    <row r="3" ht="15" customHeight="1" s="19">
      <c r="A3" s="30" t="inlineStr">
        <is>
          <t>Compute</t>
        </is>
      </c>
      <c r="B3" s="27">
        <f>COUNTIFS('Scenario Catalog'!$C$2:$C$91,$A3,'Scenario Catalog'!$S$2:$S$91,1)</f>
        <v/>
      </c>
      <c r="C3" s="27">
        <f>COUNTIFS('Scenario Catalog'!$C$2:$C$91,$A3,'Scenario Catalog'!$S$2:$S$91,2)</f>
        <v/>
      </c>
      <c r="D3" s="27">
        <f>COUNTIFS('Scenario Catalog'!$C$2:$C$91,$A3,'Scenario Catalog'!$S$2:$S$91,3)</f>
        <v/>
      </c>
      <c r="E3" s="27">
        <f>COUNTIFS('Scenario Catalog'!$C$2:$C$91,$A3,'Scenario Catalog'!$S$2:$S$91,4)</f>
        <v/>
      </c>
      <c r="F3" s="27">
        <f>SUM(B3:E3)</f>
        <v/>
      </c>
    </row>
    <row r="4" ht="15" customHeight="1" s="19">
      <c r="A4" s="30" t="inlineStr">
        <is>
          <t>Resource</t>
        </is>
      </c>
      <c r="B4" s="27">
        <f>COUNTIFS('Scenario Catalog'!$C$2:$C$91,$A4,'Scenario Catalog'!$S$2:$S$91,1)</f>
        <v/>
      </c>
      <c r="C4" s="27">
        <f>COUNTIFS('Scenario Catalog'!$C$2:$C$91,$A4,'Scenario Catalog'!$S$2:$S$91,2)</f>
        <v/>
      </c>
      <c r="D4" s="27">
        <f>COUNTIFS('Scenario Catalog'!$C$2:$C$91,$A4,'Scenario Catalog'!$S$2:$S$91,3)</f>
        <v/>
      </c>
      <c r="E4" s="27">
        <f>COUNTIFS('Scenario Catalog'!$C$2:$C$91,$A4,'Scenario Catalog'!$S$2:$S$91,4)</f>
        <v/>
      </c>
      <c r="F4" s="27">
        <f>SUM(B4:E4)</f>
        <v/>
      </c>
    </row>
    <row r="5" ht="15" customHeight="1" s="19">
      <c r="A5" s="30" t="inlineStr">
        <is>
          <t>Data-Aurora</t>
        </is>
      </c>
      <c r="B5" s="27">
        <f>COUNTIFS('Scenario Catalog'!$C$2:$C$91,$A5,'Scenario Catalog'!$S$2:$S$91,1)</f>
        <v/>
      </c>
      <c r="C5" s="27">
        <f>COUNTIFS('Scenario Catalog'!$C$2:$C$91,$A5,'Scenario Catalog'!$S$2:$S$91,2)</f>
        <v/>
      </c>
      <c r="D5" s="27">
        <f>COUNTIFS('Scenario Catalog'!$C$2:$C$91,$A5,'Scenario Catalog'!$S$2:$S$91,3)</f>
        <v/>
      </c>
      <c r="E5" s="27">
        <f>COUNTIFS('Scenario Catalog'!$C$2:$C$91,$A5,'Scenario Catalog'!$S$2:$S$91,4)</f>
        <v/>
      </c>
      <c r="F5" s="27">
        <f>SUM(B5:E5)</f>
        <v/>
      </c>
    </row>
    <row r="6" ht="15" customHeight="1" s="19">
      <c r="A6" s="30" t="inlineStr">
        <is>
          <t>Cache</t>
        </is>
      </c>
      <c r="B6" s="27">
        <f>COUNTIFS('Scenario Catalog'!$C$2:$C$91,$A6,'Scenario Catalog'!$S$2:$S$91,1)</f>
        <v/>
      </c>
      <c r="C6" s="27">
        <f>COUNTIFS('Scenario Catalog'!$C$2:$C$91,$A6,'Scenario Catalog'!$S$2:$S$91,2)</f>
        <v/>
      </c>
      <c r="D6" s="27">
        <f>COUNTIFS('Scenario Catalog'!$C$2:$C$91,$A6,'Scenario Catalog'!$S$2:$S$91,3)</f>
        <v/>
      </c>
      <c r="E6" s="27">
        <f>COUNTIFS('Scenario Catalog'!$C$2:$C$91,$A6,'Scenario Catalog'!$S$2:$S$91,4)</f>
        <v/>
      </c>
      <c r="F6" s="27">
        <f>SUM(B6:E6)</f>
        <v/>
      </c>
    </row>
    <row r="7" ht="15" customHeight="1" s="19">
      <c r="A7" s="30" t="inlineStr">
        <is>
          <t>Messaging-Kafka</t>
        </is>
      </c>
      <c r="B7" s="27">
        <f>COUNTIFS('Scenario Catalog'!$C$2:$C$91,$A7,'Scenario Catalog'!$S$2:$S$91,1)</f>
        <v/>
      </c>
      <c r="C7" s="27">
        <f>COUNTIFS('Scenario Catalog'!$C$2:$C$91,$A7,'Scenario Catalog'!$S$2:$S$91,2)</f>
        <v/>
      </c>
      <c r="D7" s="27">
        <f>COUNTIFS('Scenario Catalog'!$C$2:$C$91,$A7,'Scenario Catalog'!$S$2:$S$91,3)</f>
        <v/>
      </c>
      <c r="E7" s="27">
        <f>COUNTIFS('Scenario Catalog'!$C$2:$C$91,$A7,'Scenario Catalog'!$S$2:$S$91,4)</f>
        <v/>
      </c>
      <c r="F7" s="27">
        <f>SUM(B7:E7)</f>
        <v/>
      </c>
    </row>
    <row r="8" ht="15" customHeight="1" s="19">
      <c r="A8" s="30" t="inlineStr">
        <is>
          <t>Pipeline-Recon</t>
        </is>
      </c>
      <c r="B8" s="27">
        <f>COUNTIFS('Scenario Catalog'!$C$2:$C$91,$A8,'Scenario Catalog'!$S$2:$S$91,1)</f>
        <v/>
      </c>
      <c r="C8" s="27">
        <f>COUNTIFS('Scenario Catalog'!$C$2:$C$91,$A8,'Scenario Catalog'!$S$2:$S$91,2)</f>
        <v/>
      </c>
      <c r="D8" s="27">
        <f>COUNTIFS('Scenario Catalog'!$C$2:$C$91,$A8,'Scenario Catalog'!$S$2:$S$91,3)</f>
        <v/>
      </c>
      <c r="E8" s="27">
        <f>COUNTIFS('Scenario Catalog'!$C$2:$C$91,$A8,'Scenario Catalog'!$S$2:$S$91,4)</f>
        <v/>
      </c>
      <c r="F8" s="27">
        <f>SUM(B8:E8)</f>
        <v/>
      </c>
    </row>
    <row r="9" ht="15" customHeight="1" s="19">
      <c r="A9" s="30" t="inlineStr">
        <is>
          <t>Network</t>
        </is>
      </c>
      <c r="B9" s="27">
        <f>COUNTIFS('Scenario Catalog'!$C$2:$C$91,$A9,'Scenario Catalog'!$S$2:$S$91,1)</f>
        <v/>
      </c>
      <c r="C9" s="27">
        <f>COUNTIFS('Scenario Catalog'!$C$2:$C$91,$A9,'Scenario Catalog'!$S$2:$S$91,2)</f>
        <v/>
      </c>
      <c r="D9" s="27">
        <f>COUNTIFS('Scenario Catalog'!$C$2:$C$91,$A9,'Scenario Catalog'!$S$2:$S$91,3)</f>
        <v/>
      </c>
      <c r="E9" s="27">
        <f>COUNTIFS('Scenario Catalog'!$C$2:$C$91,$A9,'Scenario Catalog'!$S$2:$S$91,4)</f>
        <v/>
      </c>
      <c r="F9" s="27">
        <f>SUM(B9:E9)</f>
        <v/>
      </c>
    </row>
    <row r="10" ht="15" customHeight="1" s="19">
      <c r="A10" s="30" t="inlineStr">
        <is>
          <t>Edge</t>
        </is>
      </c>
      <c r="B10" s="27">
        <f>COUNTIFS('Scenario Catalog'!$C$2:$C$91,$A10,'Scenario Catalog'!$S$2:$S$91,1)</f>
        <v/>
      </c>
      <c r="C10" s="27">
        <f>COUNTIFS('Scenario Catalog'!$C$2:$C$91,$A10,'Scenario Catalog'!$S$2:$S$91,2)</f>
        <v/>
      </c>
      <c r="D10" s="27">
        <f>COUNTIFS('Scenario Catalog'!$C$2:$C$91,$A10,'Scenario Catalog'!$S$2:$S$91,3)</f>
        <v/>
      </c>
      <c r="E10" s="27">
        <f>COUNTIFS('Scenario Catalog'!$C$2:$C$91,$A10,'Scenario Catalog'!$S$2:$S$91,4)</f>
        <v/>
      </c>
      <c r="F10" s="27">
        <f>SUM(B10:E10)</f>
        <v/>
      </c>
    </row>
    <row r="11" ht="15" customHeight="1" s="19">
      <c r="A11" s="30" t="inlineStr">
        <is>
          <t>External Dep</t>
        </is>
      </c>
      <c r="B11" s="27">
        <f>COUNTIFS('Scenario Catalog'!$C$2:$C$91,$A11,'Scenario Catalog'!$S$2:$S$91,1)</f>
        <v/>
      </c>
      <c r="C11" s="27">
        <f>COUNTIFS('Scenario Catalog'!$C$2:$C$91,$A11,'Scenario Catalog'!$S$2:$S$91,2)</f>
        <v/>
      </c>
      <c r="D11" s="27">
        <f>COUNTIFS('Scenario Catalog'!$C$2:$C$91,$A11,'Scenario Catalog'!$S$2:$S$91,3)</f>
        <v/>
      </c>
      <c r="E11" s="27">
        <f>COUNTIFS('Scenario Catalog'!$C$2:$C$91,$A11,'Scenario Catalog'!$S$2:$S$91,4)</f>
        <v/>
      </c>
      <c r="F11" s="27">
        <f>SUM(B11:E11)</f>
        <v/>
      </c>
    </row>
    <row r="12" ht="15" customHeight="1" s="19">
      <c r="A12" s="30" t="inlineStr">
        <is>
          <t>Config/Secrets</t>
        </is>
      </c>
      <c r="B12" s="27">
        <f>COUNTIFS('Scenario Catalog'!$C$2:$C$91,$A12,'Scenario Catalog'!$S$2:$S$91,1)</f>
        <v/>
      </c>
      <c r="C12" s="27">
        <f>COUNTIFS('Scenario Catalog'!$C$2:$C$91,$A12,'Scenario Catalog'!$S$2:$S$91,2)</f>
        <v/>
      </c>
      <c r="D12" s="27">
        <f>COUNTIFS('Scenario Catalog'!$C$2:$C$91,$A12,'Scenario Catalog'!$S$2:$S$91,3)</f>
        <v/>
      </c>
      <c r="E12" s="27">
        <f>COUNTIFS('Scenario Catalog'!$C$2:$C$91,$A12,'Scenario Catalog'!$S$2:$S$91,4)</f>
        <v/>
      </c>
      <c r="F12" s="27">
        <f>SUM(B12:E12)</f>
        <v/>
      </c>
    </row>
    <row r="13" ht="15" customHeight="1" s="19">
      <c r="A13" s="30" t="inlineStr">
        <is>
          <t>Region/DR</t>
        </is>
      </c>
      <c r="B13" s="27">
        <f>COUNTIFS('Scenario Catalog'!$C$2:$C$91,$A13,'Scenario Catalog'!$S$2:$S$91,1)</f>
        <v/>
      </c>
      <c r="C13" s="27">
        <f>COUNTIFS('Scenario Catalog'!$C$2:$C$91,$A13,'Scenario Catalog'!$S$2:$S$91,2)</f>
        <v/>
      </c>
      <c r="D13" s="27">
        <f>COUNTIFS('Scenario Catalog'!$C$2:$C$91,$A13,'Scenario Catalog'!$S$2:$S$91,3)</f>
        <v/>
      </c>
      <c r="E13" s="27">
        <f>COUNTIFS('Scenario Catalog'!$C$2:$C$91,$A13,'Scenario Catalog'!$S$2:$S$91,4)</f>
        <v/>
      </c>
      <c r="F13" s="27">
        <f>SUM(B13:E13)</f>
        <v/>
      </c>
    </row>
    <row r="14" ht="15" customHeight="1" s="19">
      <c r="A14" s="30" t="inlineStr">
        <is>
          <t>Observability</t>
        </is>
      </c>
      <c r="B14" s="27">
        <f>COUNTIFS('Scenario Catalog'!$C$2:$C$91,$A14,'Scenario Catalog'!$S$2:$S$91,1)</f>
        <v/>
      </c>
      <c r="C14" s="27">
        <f>COUNTIFS('Scenario Catalog'!$C$2:$C$91,$A14,'Scenario Catalog'!$S$2:$S$91,2)</f>
        <v/>
      </c>
      <c r="D14" s="27">
        <f>COUNTIFS('Scenario Catalog'!$C$2:$C$91,$A14,'Scenario Catalog'!$S$2:$S$91,3)</f>
        <v/>
      </c>
      <c r="E14" s="27">
        <f>COUNTIFS('Scenario Catalog'!$C$2:$C$91,$A14,'Scenario Catalog'!$S$2:$S$91,4)</f>
        <v/>
      </c>
      <c r="F14" s="27">
        <f>SUM(B14:E14)</f>
        <v/>
      </c>
    </row>
    <row r="15" ht="15" customHeight="1" s="19">
      <c r="A15" s="30" t="inlineStr">
        <is>
          <t>App Resilience</t>
        </is>
      </c>
      <c r="B15" s="27">
        <f>COUNTIFS('Scenario Catalog'!$C$2:$C$91,$A15,'Scenario Catalog'!$S$2:$S$91,1)</f>
        <v/>
      </c>
      <c r="C15" s="27">
        <f>COUNTIFS('Scenario Catalog'!$C$2:$C$91,$A15,'Scenario Catalog'!$S$2:$S$91,2)</f>
        <v/>
      </c>
      <c r="D15" s="27">
        <f>COUNTIFS('Scenario Catalog'!$C$2:$C$91,$A15,'Scenario Catalog'!$S$2:$S$91,3)</f>
        <v/>
      </c>
      <c r="E15" s="27">
        <f>COUNTIFS('Scenario Catalog'!$C$2:$C$91,$A15,'Scenario Catalog'!$S$2:$S$91,4)</f>
        <v/>
      </c>
      <c r="F15" s="27">
        <f>SUM(B15:E15)</f>
        <v/>
      </c>
    </row>
    <row r="16" ht="15" customHeight="1" s="19">
      <c r="A16" s="30" t="inlineStr">
        <is>
          <t>Compound</t>
        </is>
      </c>
      <c r="B16" s="27">
        <f>COUNTIFS('Scenario Catalog'!$C$2:$C$91,$A16,'Scenario Catalog'!$S$2:$S$91,1)</f>
        <v/>
      </c>
      <c r="C16" s="27">
        <f>COUNTIFS('Scenario Catalog'!$C$2:$C$91,$A16,'Scenario Catalog'!$S$2:$S$91,2)</f>
        <v/>
      </c>
      <c r="D16" s="27">
        <f>COUNTIFS('Scenario Catalog'!$C$2:$C$91,$A16,'Scenario Catalog'!$S$2:$S$91,3)</f>
        <v/>
      </c>
      <c r="E16" s="27">
        <f>COUNTIFS('Scenario Catalog'!$C$2:$C$91,$A16,'Scenario Catalog'!$S$2:$S$91,4)</f>
        <v/>
      </c>
      <c r="F16" s="27">
        <f>SUM(B16:E16)</f>
        <v/>
      </c>
    </row>
    <row r="17" ht="15" customHeight="1" s="19">
      <c r="A17" s="30" t="inlineStr">
        <is>
          <t>TOTAL</t>
        </is>
      </c>
      <c r="B17" s="30">
        <f>SUM(B3:B16)</f>
        <v/>
      </c>
      <c r="C17" s="30">
        <f>SUM(C3:C16)</f>
        <v/>
      </c>
      <c r="D17" s="30">
        <f>SUM(D3:D16)</f>
        <v/>
      </c>
      <c r="E17" s="30">
        <f>SUM(E3:E16)</f>
        <v/>
      </c>
      <c r="F17" s="30">
        <f>SUM(F3:F16)</f>
        <v/>
      </c>
    </row>
    <row r="18"/>
    <row r="19" ht="15" customHeight="1" s="19">
      <c r="A19" s="22" t="inlineStr">
        <is>
          <t>Scenario counts by Injection Plane</t>
        </is>
      </c>
    </row>
    <row r="20" ht="15" customHeight="1" s="19">
      <c r="A20" s="26" t="inlineStr">
        <is>
          <t>Injection Plane</t>
        </is>
      </c>
      <c r="B20" s="26" t="inlineStr">
        <is>
          <t>Count</t>
        </is>
      </c>
    </row>
    <row r="21" ht="15" customHeight="1" s="19">
      <c r="A21" s="30" t="inlineStr">
        <is>
          <t>Infrastructure</t>
        </is>
      </c>
      <c r="B21" s="27">
        <f>COUNTIF('Scenario Catalog'!$D$2:$D$91,A21)</f>
        <v/>
      </c>
    </row>
    <row r="22" ht="15" customHeight="1" s="19">
      <c r="A22" s="30" t="inlineStr">
        <is>
          <t>Application</t>
        </is>
      </c>
      <c r="B22" s="27">
        <f>COUNTIF('Scenario Catalog'!$D$2:$D$91,A22)</f>
        <v/>
      </c>
    </row>
    <row r="23" ht="15" customHeight="1" s="19">
      <c r="A23" s="30" t="inlineStr">
        <is>
          <t>Compound</t>
        </is>
      </c>
      <c r="B23" s="27">
        <f>COUNTIF('Scenario Catalog'!$D$2:$D$91,A23)</f>
        <v/>
      </c>
    </row>
    <row r="24" ht="15" customHeight="1" s="19">
      <c r="A24" s="30" t="inlineStr">
        <is>
          <t>Detection</t>
        </is>
      </c>
      <c r="B24" s="27">
        <f>COUNTIF('Scenario Catalog'!$D$2:$D$91,A24)</f>
        <v/>
      </c>
    </row>
    <row r="25" ht="15" customHeight="1" s="19">
      <c r="A25" s="30" t="inlineStr">
        <is>
          <t>TBD</t>
        </is>
      </c>
      <c r="B25" s="27">
        <f>COUNTIF('Scenario Catalog'!$D$2:$D$91,A25)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8" min="1" max="1"/>
    <col width="42" customWidth="1" style="18" min="2" max="2"/>
    <col width="70" customWidth="1" style="18" min="3" max="3"/>
    <col width="14" customWidth="1" style="18" min="4" max="4"/>
    <col width="12" customWidth="1" style="18" min="5" max="5"/>
  </cols>
  <sheetData>
    <row r="1" ht="15" customHeight="1" s="19">
      <c r="A1" s="26" t="inlineStr">
        <is>
          <t>#</t>
        </is>
      </c>
      <c r="B1" s="26" t="inlineStr">
        <is>
          <t>Item</t>
        </is>
      </c>
      <c r="C1" s="26" t="inlineStr">
        <is>
          <t>Why it matters / what it gates</t>
        </is>
      </c>
      <c r="D1" s="26" t="inlineStr">
        <is>
          <t>Owner</t>
        </is>
      </c>
      <c r="E1" s="26" t="inlineStr">
        <is>
          <t>Status</t>
        </is>
      </c>
    </row>
    <row r="2" ht="21.75" customHeight="1" s="19">
      <c r="A2" s="30" t="n">
        <v>1</v>
      </c>
      <c r="B2" s="27" t="inlineStr">
        <is>
          <t>RDS Proxy split confirmation</t>
        </is>
      </c>
      <c r="C2" s="27" t="inlineStr">
        <is>
          <t>Diagram silence ≠ proof of direct connection (per your table's own caveat). CE-DB-01/02 asymmetry design assumes proxy = DCM/DBE/DTE only. Enrique checking.</t>
        </is>
      </c>
      <c r="D2" s="27" t="inlineStr">
        <is>
          <t>Enrique</t>
        </is>
      </c>
      <c r="E2" s="27" t="inlineStr">
        <is>
          <t>Open</t>
        </is>
      </c>
    </row>
    <row r="3" ht="21.75" customHeight="1" s="19">
      <c r="A3" s="30" t="n">
        <v>2</v>
      </c>
      <c r="B3" s="27" t="inlineStr">
        <is>
          <t>FMEA Ref mapping</t>
        </is>
      </c>
      <c r="C3" s="27" t="inlineStr">
        <is>
          <t>Map all 90 scenarios to existing FMEA scenario IDs (ASSESSED items first). Recalibrate L/S scores against ledger values during the pass.</t>
        </is>
      </c>
      <c r="D3" s="27" t="inlineStr">
        <is>
          <t>Chaos team</t>
        </is>
      </c>
      <c r="E3" s="27" t="inlineStr">
        <is>
          <t>Open</t>
        </is>
      </c>
    </row>
    <row r="4" ht="21.75" customHeight="1" s="19">
      <c r="A4" s="30" t="n">
        <v>3</v>
      </c>
      <c r="B4" s="27" t="inlineStr">
        <is>
          <t>Journey mapping</t>
        </is>
      </c>
      <c r="C4" s="27" t="inlineStr">
        <is>
          <t>Populate Journeys column against the official 16-journey list; journey criticality then feeds wave-1 sub-ordering.</t>
        </is>
      </c>
      <c r="D4" s="27" t="inlineStr">
        <is>
          <t>Chaos team</t>
        </is>
      </c>
      <c r="E4" s="27" t="inlineStr">
        <is>
          <t>Open</t>
        </is>
      </c>
    </row>
    <row r="5" ht="32.25" customHeight="1" s="19">
      <c r="A5" s="30" t="n">
        <v>4</v>
      </c>
      <c r="B5" s="27" t="inlineStr">
        <is>
          <t>Dynatrace PERF config parity</t>
        </is>
      </c>
      <c r="C5" s="27" t="inlineStr">
        <is>
          <t>'Team hasn't configured things properly' — CE-OBS-01 validates coverage, but first confirm the SAME monitoring config is deployed to PERF, else the scorecard measures the wrong thing.</t>
        </is>
      </c>
      <c r="D5" s="27" t="inlineStr">
        <is>
          <t>Chaos + Obs team</t>
        </is>
      </c>
      <c r="E5" s="27" t="inlineStr">
        <is>
          <t>Open</t>
        </is>
      </c>
    </row>
    <row r="6" ht="32.25" customHeight="1" s="19">
      <c r="A6" s="30" t="n">
        <v>5</v>
      </c>
      <c r="B6" s="27" t="inlineStr">
        <is>
          <t>PERF↔PROD delta register</t>
        </is>
      </c>
      <c r="C6" s="27" t="inlineStr">
        <is>
          <t>Formal list: task counts/scaling, Aurora instance classes, data volumes, us-west-2 presence for 3-Active tier, pilot-light infra for MCC, R53/DNS config, dr-orchestrator parity, timeout config parity. Every 'Medium/Low PERF validity' flag resolves against this register.</t>
        </is>
      </c>
      <c r="D6" s="27" t="inlineStr">
        <is>
          <t>Enrique + Chaos team</t>
        </is>
      </c>
      <c r="E6" s="27" t="inlineStr">
        <is>
          <t>Open</t>
        </is>
      </c>
    </row>
    <row r="7" ht="21.75" customHeight="1" s="19">
      <c r="A7" s="30" t="n">
        <v>6</v>
      </c>
      <c r="B7" s="27" t="inlineStr">
        <is>
          <t>FIS Fargate network actions availability</t>
        </is>
      </c>
      <c r="C7" s="27" t="inlineStr">
        <is>
          <t>Latency/loss/blackhole on Fargate needs fault-injection endpoints + pidMode:task and no blocking SCPs. If unavailable → build tc-sidecar fallback (gates CE-NET-01/02).</t>
        </is>
      </c>
      <c r="D7" s="27" t="inlineStr">
        <is>
          <t>Chaos team</t>
        </is>
      </c>
      <c r="E7" s="27" t="inlineStr">
        <is>
          <t>Open</t>
        </is>
      </c>
    </row>
    <row r="8" ht="32.25" customHeight="1" s="19">
      <c r="A8" s="30" t="n">
        <v>7</v>
      </c>
      <c r="B8" s="27" t="inlineStr">
        <is>
          <t>External-dependency injection layer</t>
        </is>
      </c>
      <c r="C8" s="27" t="inlineStr">
        <is>
          <t>Decide and build the Toxiproxy (or equivalent) layer in front of dedicated PERF CBS + LCDP/CSU/ChannelContext paths. PERF CBS is live — inject in front, never break it. Gates all CE-EXT.</t>
        </is>
      </c>
      <c r="D8" s="27" t="inlineStr">
        <is>
          <t>Chaos team</t>
        </is>
      </c>
      <c r="E8" s="27" t="inlineStr">
        <is>
          <t>Open</t>
        </is>
      </c>
    </row>
    <row r="9" ht="21.75" customHeight="1" s="19">
      <c r="A9" s="30" t="n">
        <v>8</v>
      </c>
      <c r="B9" s="27" t="inlineStr">
        <is>
          <t>CloudWatch alarm ownership</t>
        </is>
      </c>
      <c r="C9" s="27" t="inlineStr">
        <is>
          <t>Failover-trigger alarms owned outside app repos — CE-OBS-02 requires their owners at the table; false-trigger risk makes this a governance item, not a courtesy.</t>
        </is>
      </c>
      <c r="D9" s="27" t="inlineStr">
        <is>
          <t>Enrique</t>
        </is>
      </c>
      <c r="E9" s="27" t="inlineStr">
        <is>
          <t>Open</t>
        </is>
      </c>
    </row>
    <row r="10" ht="21.75" customHeight="1" s="19">
      <c r="A10" s="30" t="n">
        <v>9</v>
      </c>
      <c r="B10" s="27" t="inlineStr">
        <is>
          <t>Spend-Track documentation</t>
        </is>
      </c>
      <c r="C10" s="27" t="inlineStr">
        <is>
          <t>No artifact exists. All SSE scenarios blocked until minimum documentation lands. Finding in itself.</t>
        </is>
      </c>
      <c r="D10" s="27" t="inlineStr">
        <is>
          <t>Service team</t>
        </is>
      </c>
      <c r="E10" s="27" t="inlineStr">
        <is>
          <t>Blocked</t>
        </is>
      </c>
    </row>
    <row r="11" ht="15" customHeight="1" s="19">
      <c r="A11" s="30" t="n">
        <v>10</v>
      </c>
      <c r="B11" s="27" t="inlineStr">
        <is>
          <t>DLAT dependency documentation</t>
        </is>
      </c>
      <c r="C11" s="27" t="inlineStr">
        <is>
          <t>Infra-only diagram; CE-EDGE-06 doubles as the discovery exercise.</t>
        </is>
      </c>
      <c r="D11" s="27" t="inlineStr">
        <is>
          <t>Service team</t>
        </is>
      </c>
      <c r="E11" s="27" t="inlineStr">
        <is>
          <t>Open</t>
        </is>
      </c>
    </row>
    <row r="12" ht="21.75" customHeight="1" s="19">
      <c r="A12" s="30" t="n">
        <v>11</v>
      </c>
      <c r="B12" s="27" t="inlineStr">
        <is>
          <t>Kafka SaaS placeholder</t>
        </is>
      </c>
      <c r="C12" s="27" t="inlineStr">
        <is>
          <t>CE-KFK-09 reserved. Re-plan KFK family when platform is selected. Per direction: no planning now.</t>
        </is>
      </c>
      <c r="D12" s="27" t="inlineStr">
        <is>
          <t>—</t>
        </is>
      </c>
      <c r="E12" s="27" t="inlineStr">
        <is>
          <t>Parked</t>
        </is>
      </c>
    </row>
    <row r="13" ht="15" customHeight="1" s="19">
      <c r="A13" s="30" t="n">
        <v>12</v>
      </c>
      <c r="B13" s="27" t="inlineStr">
        <is>
          <t>VPC endpoint architecture</t>
        </is>
      </c>
      <c r="C13" s="27" t="inlineStr">
        <is>
          <t>Confirm PrivateLink/endpoint usage before CE-NET-04 is scoped.</t>
        </is>
      </c>
      <c r="D13" s="27" t="inlineStr">
        <is>
          <t>Enrique</t>
        </is>
      </c>
      <c r="E13" s="27" t="inlineStr">
        <is>
          <t>Open</t>
        </is>
      </c>
    </row>
    <row r="14" ht="21.75" customHeight="1" s="19">
      <c r="A14" s="30" t="n">
        <v>13</v>
      </c>
      <c r="B14" s="27" t="inlineStr">
        <is>
          <t>Recon reversibility in PERF CBS</t>
        </is>
      </c>
      <c r="C14" s="27" t="inlineStr">
        <is>
          <t>CE-PIPE-10 sends real Posting corrections to the dedicated PERF CBS — confirm test postings are reversible/isolated before executing.</t>
        </is>
      </c>
      <c r="D14" s="27" t="inlineStr">
        <is>
          <t>Chaos team</t>
        </is>
      </c>
      <c r="E14" s="27" t="inlineStr">
        <is>
          <t>Open</t>
        </is>
      </c>
    </row>
    <row r="15" ht="21.75" customHeight="1" s="19">
      <c r="A15" s="30" t="n">
        <v>14</v>
      </c>
      <c r="B15" s="27" t="inlineStr">
        <is>
          <t>Steady-state SLI gaps</t>
        </is>
      </c>
      <c r="C15" s="27" t="inlineStr">
        <is>
          <t>Any Wave-1 scenario without a trusted steady-state signal gets logged here and becomes an observability work item before execution.</t>
        </is>
      </c>
      <c r="D15" s="27" t="inlineStr">
        <is>
          <t>Chaos team</t>
        </is>
      </c>
      <c r="E15" s="27" t="inlineStr">
        <is>
          <t>Standing</t>
        </is>
      </c>
    </row>
  </sheetData>
  <autoFilter ref="A1:E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34" customWidth="1" style="18" min="2" max="2"/>
    <col width="40" customWidth="1" style="18" min="3" max="3"/>
    <col width="34" customWidth="1" style="18" min="4" max="4"/>
    <col width="26" customWidth="1" style="18" min="5" max="5"/>
  </cols>
  <sheetData>
    <row r="1" ht="17.25" customHeight="1" s="19">
      <c r="A1" s="32" t="inlineStr">
        <is>
          <t>Application Code Scan — Method &amp; Standard</t>
        </is>
      </c>
    </row>
    <row r="2" ht="180" customHeight="1" s="19">
      <c r="A2" s="33" t="inlineStr">
        <is>
          <t>Durable reference for scanning ANY application repo for chaos-relevant, resilience-relevant facts. Written to be re-run unchanged on new services built after this catalog. Applies to Maven multi-module repos (root/parent pom.xml + one pom.xml per module) by default — adapt the build-file parsing step for other build tools.</t>
        </is>
      </c>
    </row>
    <row r="3"/>
    <row r="4" ht="15" customHeight="1" s="19">
      <c r="A4" s="31" t="inlineStr">
        <is>
          <t>Non-negotiable rules (apply to every category below)</t>
        </is>
      </c>
    </row>
    <row r="5" ht="68.25" customHeight="1" s="19">
      <c r="A5" s="34" t="inlineStr">
        <is>
          <t>•  Every extracted fact carries evidence: {file path, line number, verbatim snippet}. No fact without evidence.</t>
        </is>
      </c>
    </row>
    <row r="6" ht="202.5" customHeight="1" s="19">
      <c r="A6" s="34" t="inlineStr">
        <is>
          <t>•  Never assume a framework default. If a value isn't explicitly configured, record NOT_CONFIGURED — &lt;library&gt;@&lt;version&gt; default in effect and name the version; do not state what that default is unless verified against that exact version's documentation, and mark it a human-verify item if stated.</t>
        </is>
      </c>
    </row>
    <row r="7" ht="162" customHeight="1" s="19">
      <c r="A7" s="34" t="inlineStr">
        <is>
          <t>•  A value only resolvable through Maven property inheritance or a profile-activated override that cannot be statically traced is AMBIGUOUS, with both candidate values and their sources recorded — never silently pick one.</t>
        </is>
      </c>
    </row>
    <row r="8" ht="175.5" customHeight="1" s="19">
      <c r="A8" s="34" t="inlineStr">
        <is>
          <t>•  Config sourced from Secrets Manager / Parameter Store / VaultSM-ASM-style vaults (i.e., the key exists in code but the value is externally resolved) is EXTERNAL_CONFIG — not resolvable from repo. Do not attempt to guess the resolved value.</t>
        </is>
      </c>
    </row>
    <row r="9" ht="108.75" customHeight="1" s="19">
      <c r="A9" s="34" t="inlineStr">
        <is>
          <t>•  A category with genuinely nothing found is NOT_FOUND, with the search patterns used listed — a clean sheet is a finding, not a skipped row.</t>
        </is>
      </c>
    </row>
    <row r="10" ht="122.25" customHeight="1" s="19">
      <c r="A10" s="34" t="inlineStr">
        <is>
          <t>•  Status vocabulary is exactly: CONFIRMED | NOT_FOUND | NOT_CONFIGURED | AMBIGUOUS | EXTERNAL_CONFIG | NOT_APPLICABLE. Do not invent new statuses.</t>
        </is>
      </c>
    </row>
    <row r="11"/>
    <row r="12" ht="15" customHeight="1" s="19">
      <c r="A12" s="31" t="inlineStr">
        <is>
          <t>Scan categories</t>
        </is>
      </c>
    </row>
    <row r="13" ht="23.25" customHeight="1" s="19">
      <c r="A13" s="26" t="inlineStr">
        <is>
          <t>Category</t>
        </is>
      </c>
      <c r="B13" s="26" t="inlineStr">
        <is>
          <t>What to Extract</t>
        </is>
      </c>
      <c r="C13" s="26" t="inlineStr">
        <is>
          <t>Where to Look (signals / patterns)</t>
        </is>
      </c>
      <c r="D13" s="26" t="inlineStr">
        <is>
          <t>Evidence to Capture</t>
        </is>
      </c>
      <c r="E13" s="26" t="inlineStr">
        <is>
          <t>Feeds Fault Domain(s) / Scenario Family</t>
        </is>
      </c>
    </row>
    <row r="14" ht="74.25" customHeight="1" s="19">
      <c r="A14" s="30" t="inlineStr">
        <is>
          <t>Dependency &amp; Version Census</t>
        </is>
      </c>
      <c r="B14" s="27" t="inlineStr">
        <is>
          <t>Build tool, resolved versions of: Spring Boot, Resilience4j, Feign/OpenFeign, HikariCP, Kafka client, AWS SDK (v1/v2), RDS/Aurora JDBC driver (aws-jdbc-wrapper or plain), Redis client. Version pins what a 'default' even means.</t>
        </is>
      </c>
      <c r="C14" s="27" t="inlineStr">
        <is>
          <t>Root/parent pom.xml &lt;properties&gt;/&lt;dependencyManagement&gt;; each module pom.xml; run `mvn help:effective-pom` if Maven+JDK available on the scanning host for guaranteed resolution, else static multi-file parsing (mark inherited-but-unresolved properties AMBIGUOUS).</t>
        </is>
      </c>
      <c r="D14" s="27" t="inlineStr">
        <is>
          <t>artifactId, resolved version, resolution method (effective-pom vs static), source file(s).</t>
        </is>
      </c>
      <c r="E14" s="27" t="inlineStr">
        <is>
          <t>Feeds every other category below — versions gate what 'not configured' means.</t>
        </is>
      </c>
    </row>
    <row r="15" ht="137.25" customHeight="1" s="19">
      <c r="A15" s="30" t="inlineStr">
        <is>
          <t>Resilience Config (circuit breakers, retry, bulkhead)</t>
        </is>
      </c>
      <c r="B15" s="27" t="inlineStr">
        <is>
          <t>Every @CircuitBreaker/@Retry/@Bulkhead/@RateLimiter annotation (or programmatic Resilience4j registry config): instance name, failureRateThreshold, slowCallRateThreshold + slowCallDurationThreshold, waitDurationInOpenState, permittedNumberOfCallsInHalfOpenState, whether a fallbackMethod actually exists and its signature matches, retry maxAttempts/backoff/jitter, bulkhead maxConcurrentCalls.</t>
        </is>
      </c>
      <c r="C15" s="27" t="inlineStr">
        <is>
          <t>@CircuitBreaker/@Retry/@Bulkhead/@RateLimiter annotations; resilience4j.* keys in application*.yml; any programmatic CircuitBreakerConfig/RetryConfig builders.</t>
        </is>
      </c>
      <c r="D15" s="27" t="inlineStr">
        <is>
          <t>Per protected call: client/method name, every configured threshold with file:line, presence/absence of slow-call config specifically (most common gap), fallback method existence.</t>
        </is>
      </c>
      <c r="E15" s="27" t="inlineStr">
        <is>
          <t>App Resilience family (breaker/retry/bulkhead scenarios); directly assigns targets for slow-call-path experiments.</t>
        </is>
      </c>
    </row>
    <row r="16" ht="74.25" customHeight="1" s="19">
      <c r="A16" s="30" t="inlineStr">
        <is>
          <t>Timeout Chain (app-side)</t>
        </is>
      </c>
      <c r="B16" s="27" t="inlineStr">
        <is>
          <t>Every timeout value in the request path: HikariCP connectionTimeout/maxLifetime/idleTimeout, Feign/RestTemplate/WebClient connect+read timeouts, Resilience4j TimeLimiter duration, Kafka request.timeout.ms/session.timeout.ms.</t>
        </is>
      </c>
      <c r="C16" s="27" t="inlineStr">
        <is>
          <t>application*.yml under spring.datasource.hikari.*, feign.client.config.*, resilience4j.timelimiter.*, spring.kafka.*; RestTemplateBuilder/WebClient.Builder construction sites (flag any built with NO explicit timeout — infinite by default).</t>
        </is>
      </c>
      <c r="D16" s="27" t="inlineStr">
        <is>
          <t>Layer name, key, value, unit, file:line. Explicitly flag any HTTP client built without a timeout.</t>
        </is>
      </c>
      <c r="E16" s="27" t="inlineStr">
        <is>
          <t>Edge / timeout-chain-ordering scenarios; cross-referenced against infra-side ALB/NLB/API-GW timeouts in the Timeout Chain sheet.</t>
        </is>
      </c>
    </row>
    <row r="17" ht="42.75" customHeight="1" s="19">
      <c r="A17" s="30" t="inlineStr">
        <is>
          <t>Retry Amplification Inputs</t>
        </is>
      </c>
      <c r="B17" s="27" t="inlineStr">
        <is>
          <t>For each outbound call in a chain, its retry count and backoff — used to compute worst-case multiplicative amplification across a multi-hop path.</t>
        </is>
      </c>
      <c r="C17" s="27" t="inlineStr">
        <is>
          <t>Same annotations as Resilience Config, organized by caller→callee edges (derive edges from Feign client interfaces / RestTemplate call sites / method names matching known downstream services).</t>
        </is>
      </c>
      <c r="D17" s="27" t="inlineStr">
        <is>
          <t>Caller, callee, retry count, backoff type. The consolidation script multiplies retry counts along a path — do not compute the product yourself in the scan; just report the edges.</t>
        </is>
      </c>
      <c r="E17" s="27" t="inlineStr">
        <is>
          <t>App Resilience — retry-storm / self-inflicted-load scenarios.</t>
        </is>
      </c>
    </row>
    <row r="18" ht="74.25" customHeight="1" s="19">
      <c r="A18" s="30" t="inlineStr">
        <is>
          <t>Kafka Consumer / Producer Config</t>
        </is>
      </c>
      <c r="B18" s="27" t="inlineStr">
        <is>
          <t>Per @KafkaListener or consumer factory: auto.offset.reset, enable.auto.commit (vs manual ack), max.poll.interval.ms vs realistic processing time, presence of an error handler / DLQ wiring, container-level concurrency. Per producer: acks, idempotence setting, retries.</t>
        </is>
      </c>
      <c r="C18" s="27" t="inlineStr">
        <is>
          <t>@KafkaListener annotations and their consumer factory beans; application*.yml spring.kafka.consumer.*/producer.*; DefaultErrorHandler / SeekToCurrentErrorHandler / dead-letter-publishing-recoverer usage.</t>
        </is>
      </c>
      <c r="D18" s="27" t="inlineStr">
        <is>
          <t>Listener method, topic, group id, each setting with file:line. Flag auto.offset.reset=latest on any consumer whose group appears durable/stateful (candidate for silent message loss).</t>
        </is>
      </c>
      <c r="E18" s="27" t="inlineStr">
        <is>
          <t>Messaging/Kafka family — poison-message, duplicate-delivery, rebalance, and offset-loss scenarios.</t>
        </is>
      </c>
    </row>
    <row r="19" ht="63.75" customHeight="1" s="19">
      <c r="A19" s="30" t="inlineStr">
        <is>
          <t>Idempotency Evidence</t>
        </is>
      </c>
      <c r="B19" s="27" t="inlineStr">
        <is>
          <t>For each event handler and file-ingestion write path: does the write show idempotency machinery (upsert / ON CONFLICT / merge, a dedup or processed-event-id table, natural-key uniqueness constraint) or a bare insert/save with no guard?</t>
        </is>
      </c>
      <c r="C19" s="27" t="inlineStr">
        <is>
          <t>Repository/DAO save methods invoked from @KafkaListener or file-processing code paths; JPA @Table unique constraints; native SQL with ON CONFLICT/MERGE; any 'seen event id' check.</t>
        </is>
      </c>
      <c r="D19" s="27" t="inlineStr">
        <is>
          <t>Handler name, evidence type found (or NONE_FOUND), file:line, a suspicion_level of low/medium/high (NONE_FOUND = high suspicion — cannot prove idempotency statically, only rank it).</t>
        </is>
      </c>
      <c r="E19" s="27" t="inlineStr">
        <is>
          <t>Duplicate-delivery and pipeline-restart-idempotency scenarios — ranks which consumers to test first.</t>
        </is>
      </c>
    </row>
    <row r="20" ht="95.25" customHeight="1" s="19">
      <c r="A20" s="30" t="inlineStr">
        <is>
          <t>Anti-Pattern Sweep</t>
        </is>
      </c>
      <c r="B20" s="27" t="inlineStr">
        <is>
          <t>Broad-catch exception swallowing around remote calls; unbounded thread pools / @Async without a bounded executor; hardcoded Thread.sleep in retry logic; HTTP clients built with no timeout (cross-ref with Timeout Chain); blocking calls inside a Kafka listener thread; multi-write event handlers without a transaction boundary.</t>
        </is>
      </c>
      <c r="C20" s="27" t="inlineStr">
        <is>
          <t>grep/ripgrep for catch (Exception, catch (Throwable, Thread.sleep(, new RestTemplate() / WebClient.builder().build() with no timeout call chained, @Async without a named bounded executor bean, @KafkaListener methods calling blocking I/O without async offload. Semgrep rules are an optional accelerator if installable; otherwise pattern-match plus a read of the surrounding method for confirmation before flagging.</t>
        </is>
      </c>
      <c r="D20" s="27" t="inlineStr">
        <is>
          <t>Pattern id, description, file:line, snippet, a plain-language severity_hint (not a formal score — that stays human judgment).</t>
        </is>
      </c>
      <c r="E20" s="27" t="inlineStr">
        <is>
          <t>Generates candidate NEW scenarios beyond the current 90 — this category is expected to surface gaps, not just confirm existing ones.</t>
        </is>
      </c>
    </row>
    <row r="21" ht="32.25" customHeight="1" s="19">
      <c r="A21" s="30" t="inlineStr">
        <is>
          <t>Spring Profile Inventory</t>
        </is>
      </c>
      <c r="B21" s="27" t="inlineStr">
        <is>
          <t>Every environment profile present (perf, prod, and any others) and every config file / config-file-per-profile that exists for it.</t>
        </is>
      </c>
      <c r="C21" s="27" t="inlineStr">
        <is>
          <t>application.yml plus application-&lt;profile&gt;.yml per module; @Profile annotations in code; any profile-conditional @Bean.</t>
        </is>
      </c>
      <c r="D21" s="27" t="inlineStr">
        <is>
          <t>Profile name, config file path(s), any profile-gated bean/behavior found in code (not just config).</t>
        </is>
      </c>
      <c r="E21" s="27" t="inlineStr">
        <is>
          <t>Feeds the Profile Diff step below directly.</t>
        </is>
      </c>
    </row>
    <row r="22"/>
    <row r="23" ht="15" customHeight="1" s="19">
      <c r="A23" s="31" t="inlineStr">
        <is>
          <t>Profile Diff — perf vs prod</t>
        </is>
      </c>
    </row>
    <row r="24" ht="149.25" customHeight="1" s="19">
      <c r="A24" s="34" t="inlineStr">
        <is>
          <t>•  For every config key found in the Spring Profile Inventory, resolve the EFFECTIVE value per profile (base application.yml overridden by application-&lt;profile&gt;.yml — do not stop at the base file).</t>
        </is>
      </c>
    </row>
    <row r="25" ht="216" customHeight="1" s="19">
      <c r="A25" s="34" t="inlineStr">
        <is>
          <t>•  Diff perf vs prod key-by-key. Classify each difference as: expected (endpoints, hostnames, credential references, log levels) or suspicious (timeouts, pool sizes, retry counts, breaker thresholds, batch sizes, thread-pool sizes differing across environments — anything that changes SYSTEM BEHAVIOR, not just its target).</t>
        </is>
      </c>
    </row>
    <row r="26" ht="149.25" customHeight="1" s="19">
      <c r="A26" s="34" t="inlineStr">
        <is>
          <t>•  A key present in one profile file and silently absent in the other is its own finding (missing_in_one) — do not assume it 'falls back to base' without confirming the override mechanism actually works that way for that key.</t>
        </is>
      </c>
    </row>
    <row r="27" ht="162" customHeight="1" s="19">
      <c r="A27" s="34" t="inlineStr">
        <is>
          <t>•  Output feeds the Profile Mismatch Register sheet and directly resolves 'PERF Validity' flags already in the Scenario Catalog — a scenario marked Medium/Low PERF validity should point at the specific suspicious diff that causes the caveat.</t>
        </is>
      </c>
    </row>
    <row r="28"/>
    <row r="29"/>
    <row r="30" ht="15" customHeight="1" s="19">
      <c r="A30" s="31" t="inlineStr">
        <is>
          <t>Keeping this current</t>
        </is>
      </c>
    </row>
    <row r="31" ht="162" customHeight="1" s="19">
      <c r="A31" s="34" t="inlineStr">
        <is>
          <t>•  New service repo added: run the full category list against it once at onboarding; add its row to the Service Inventory tab; propose new scenario IDs following the CE-&lt;DOMAIN&gt;-NN convention for any pattern not already covered.</t>
        </is>
      </c>
    </row>
    <row r="32" ht="149.25" customHeight="1" s="19">
      <c r="A32" s="34" t="inlineStr">
        <is>
          <t>•  New dependency/library adopted (e.g., a new HTTP client, a new messaging library): add a row to this table before the next scan cycle — this table should grow with your stack, not silently miss new tech.</t>
        </is>
      </c>
    </row>
    <row r="33" ht="149.25" customHeight="1" s="19">
      <c r="A33" s="34" t="inlineStr">
        <is>
          <t>•  Re-run cadence: re-scan after any change to resilience/timeout/Kafka config, and at minimum once per quarter to catch drift — config drift between scans is itself a finding worth tracking.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32" customWidth="1" style="18" min="2" max="2"/>
    <col width="36" customWidth="1" style="18" min="3" max="3"/>
    <col width="28" customWidth="1" style="18" min="4" max="4"/>
    <col width="22" customWidth="1" style="18" min="5" max="5"/>
  </cols>
  <sheetData>
    <row r="1" ht="17.25" customHeight="1" s="19">
      <c r="A1" s="32" t="inlineStr">
        <is>
          <t>Infrastructure Scan — Method &amp; Standard</t>
        </is>
      </c>
    </row>
    <row r="2" ht="168.75" customHeight="1" s="19">
      <c r="A2" s="33" t="inlineStr">
        <is>
          <t>Durable reference for discovering and cataloging cloud components from infrastructure-as-code repos, and for keeping the Service Inventory tab and the fault-domain taxonomy current as the architecture evolves. Tool-agnostic by design — detect the IaC tool in use per repo rather than assuming one.</t>
        </is>
      </c>
    </row>
    <row r="3"/>
    <row r="4" ht="15" customHeight="1" s="19">
      <c r="A4" s="31" t="inlineStr">
        <is>
          <t>Non-negotiable rules (same as the App tab)</t>
        </is>
      </c>
    </row>
    <row r="5" ht="68.25" customHeight="1" s="19">
      <c r="A5" s="34" t="inlineStr">
        <is>
          <t>•  Every extracted fact carries evidence: {file path, line number / resource block, verbatim snippet}.</t>
        </is>
      </c>
    </row>
    <row r="6" ht="175.5" customHeight="1" s="19">
      <c r="A6" s="34" t="inlineStr">
        <is>
          <t>•  Never assume a cloud-provider default for an unset attribute — record NOT_CONFIGURED and name the provider/resource-type default only if you can point to its source (provider docs version), otherwise leave it for human verification.</t>
        </is>
      </c>
    </row>
    <row r="7" ht="135.75" customHeight="1" s="19">
      <c r="A7" s="34" t="inlineStr">
        <is>
          <t>•  A value set via a variable/module input that isn't resolvable without running the tool (terraform plan, cdk synth) is AMBIGUOUS with the variable name and every default/tfvars candidate recorded.</t>
        </is>
      </c>
    </row>
    <row r="8" ht="108.75" customHeight="1" s="19">
      <c r="A8" s="34" t="inlineStr">
        <is>
          <t>•  Status vocabulary matches the App tab exactly: CONFIRMED | NOT_FOUND | NOT_CONFIGURED | AMBIGUOUS | EXTERNAL_CONFIG | NOT_APPLICABLE.</t>
        </is>
      </c>
    </row>
    <row r="9"/>
    <row r="10" ht="15" customHeight="1" s="19">
      <c r="A10" s="31" t="inlineStr">
        <is>
          <t>Step 1 — Detect the IaC tool (per repo, do not assume)</t>
        </is>
      </c>
    </row>
    <row r="11" ht="15" customHeight="1" s="19">
      <c r="A11" s="26" t="inlineStr">
        <is>
          <t>Signal file(s)</t>
        </is>
      </c>
      <c r="B11" s="26" t="inlineStr">
        <is>
          <t>Tool</t>
        </is>
      </c>
      <c r="C11" s="26" t="inlineStr">
        <is>
          <t>Primary extraction approach</t>
        </is>
      </c>
    </row>
    <row r="12" ht="63.75" customHeight="1" s="19">
      <c r="A12" s="30" t="inlineStr">
        <is>
          <t>*.tf, *.tf.json, terraform.tfstate*</t>
        </is>
      </c>
      <c r="B12" s="27" t="inlineStr">
        <is>
          <t>Terraform</t>
        </is>
      </c>
      <c r="C12" s="27" t="inlineStr">
        <is>
          <t>Parse HCL resource blocks directly for CONFIRMED values; if `terraform` CLI is available, `terraform show -json` on a plan gives fully resolved values and should be preferred over static HCL parsing where variables are involved.</t>
        </is>
      </c>
    </row>
    <row r="13" ht="63.75" customHeight="1" s="19">
      <c r="A13" s="30" t="inlineStr">
        <is>
          <t>cdk.json + *.ts/*.py CDK constructs</t>
        </is>
      </c>
      <c r="B13" s="27" t="inlineStr">
        <is>
          <t>AWS CDK</t>
        </is>
      </c>
      <c r="C13" s="27" t="inlineStr">
        <is>
          <t>Static analysis of construct props is best-effort only — CDK constructs apply implicit defaults in code, not in the file you're reading. If `cdk synth` can be run, extract from the synthesized CloudFormation template instead for CONFIRMED-grade values.</t>
        </is>
      </c>
    </row>
    <row r="14" ht="42.75" customHeight="1" s="19">
      <c r="A14" s="30" t="inlineStr">
        <is>
          <t>template.yaml/json with AWSTemplateFormatVersion, or SAM's template.yaml</t>
        </is>
      </c>
      <c r="B14" s="27" t="inlineStr">
        <is>
          <t>CloudFormation / SAM</t>
        </is>
      </c>
      <c r="C14" s="27" t="inlineStr">
        <is>
          <t>Parse Resources: block directly — declarative, closest to ground truth without needing to execute anything.</t>
        </is>
      </c>
    </row>
    <row r="15" ht="42.75" customHeight="1" s="19">
      <c r="A15" s="30" t="inlineStr">
        <is>
          <t>serverless.yml</t>
        </is>
      </c>
      <c r="B15" s="27" t="inlineStr">
        <is>
          <t>Serverless Framework</t>
        </is>
      </c>
      <c r="C15" s="27" t="inlineStr">
        <is>
          <t>Parse provider:/functions:/resources: blocks; note this framework often layers its own defaults atop the CloudFormation it generates — flag accordingly.</t>
        </is>
      </c>
    </row>
    <row r="16" ht="53.25" customHeight="1" s="19">
      <c r="A16" s="30" t="inlineStr">
        <is>
          <t>None of the above found</t>
        </is>
      </c>
      <c r="B16" s="27" t="inlineStr">
        <is>
          <t>Unknown / manual provisioning</t>
        </is>
      </c>
      <c r="C16" s="27" t="inlineStr">
        <is>
          <t>Mark the repo NOT_APPLICABLE for automated extraction and log it in Open Items — infrastructure may be console/ClickOps-managed, which is itself a finding worth surfacing to leadership.</t>
        </is>
      </c>
    </row>
    <row r="17"/>
    <row r="18" ht="15" customHeight="1" s="19">
      <c r="A18" s="31" t="inlineStr">
        <is>
          <t>Step 2 — Component categories to extract</t>
        </is>
      </c>
    </row>
    <row r="19" ht="15" customHeight="1" s="19">
      <c r="A19" s="26" t="inlineStr">
        <is>
          <t>Component Category</t>
        </is>
      </c>
      <c r="B19" s="26" t="inlineStr">
        <is>
          <t>Resource Types / Signals</t>
        </is>
      </c>
      <c r="C19" s="26" t="inlineStr">
        <is>
          <t>What to Extract</t>
        </is>
      </c>
      <c r="D19" s="26" t="inlineStr">
        <is>
          <t>Cross-Check Against</t>
        </is>
      </c>
      <c r="E19" s="26" t="inlineStr">
        <is>
          <t>Feeds Fault Domain(s)</t>
        </is>
      </c>
    </row>
    <row r="20" ht="63.75" customHeight="1" s="19">
      <c r="A20" s="30" t="inlineStr">
        <is>
          <t>Compute</t>
        </is>
      </c>
      <c r="B20" s="27" t="inlineStr">
        <is>
          <t>ECS Service + TaskDefinition (or equivalent: EKS, Lambda, EC2 ASG)</t>
        </is>
      </c>
      <c r="C20" s="27" t="inlineStr">
        <is>
          <t>Launch type (Fargate/EC2), desired count, min/max healthy percent during deploy, CPU/memory, whether env vars override any app-side config (this is a common silent divergence from the checked-in application.yml).</t>
        </is>
      </c>
      <c r="D20" s="27" t="inlineStr">
        <is>
          <t>App Scan census — flag any env-var override of a value the App scan also found in code, both values recorded.</t>
        </is>
      </c>
      <c r="E20" s="27" t="inlineStr">
        <is>
          <t>Compute</t>
        </is>
      </c>
    </row>
    <row r="21" ht="74.25" customHeight="1" s="19">
      <c r="A21" s="30" t="inlineStr">
        <is>
          <t>Data store</t>
        </is>
      </c>
      <c r="B21" s="27" t="inlineStr">
        <is>
          <t>RDS/Aurora cluster + instance, RDS Proxy, DynamoDB table</t>
        </is>
      </c>
      <c r="C21" s="27" t="inlineStr">
        <is>
          <t>Engine + version, instance class, Multi-AZ, Aurora Global Database membership + failover priority/region roles, whether an RDS Proxy resource exists and which services' security groups/target groups point at it (this is how you CONFIRM the proxy-vs-direct split rather than inferring it from an app diagram).</t>
        </is>
      </c>
      <c r="D21" s="27" t="inlineStr">
        <is>
          <t>Service Inventory tab's 'RDS Proxy' column — reconcile any disagreement rather than picking one source silently.</t>
        </is>
      </c>
      <c r="E21" s="27" t="inlineStr">
        <is>
          <t>Data-Aurora / Data-&lt;other&gt;</t>
        </is>
      </c>
    </row>
    <row r="22" ht="42.75" customHeight="1" s="19">
      <c r="A22" s="30" t="inlineStr">
        <is>
          <t>Cache</t>
        </is>
      </c>
      <c r="B22" s="27" t="inlineStr">
        <is>
          <t>ElastiCache replication group / cluster</t>
        </is>
      </c>
      <c r="C22" s="27" t="inlineStr">
        <is>
          <t>Engine (Redis/Memcached), node type, Multi-AZ, number of shards/replicas, auth-token requirement, per-region vs shared cluster topology.</t>
        </is>
      </c>
      <c r="D22" s="27" t="inlineStr">
        <is>
          <t>App Scan's client config for connection/auth patterns.</t>
        </is>
      </c>
      <c r="E22" s="27" t="inlineStr">
        <is>
          <t>Cache</t>
        </is>
      </c>
    </row>
    <row r="23" ht="53.25" customHeight="1" s="19">
      <c r="A23" s="30" t="inlineStr">
        <is>
          <t>Messaging / broker</t>
        </is>
      </c>
      <c r="B23" s="27" t="inlineStr">
        <is>
          <t>MSK cluster, self-managed broker security groups, or SaaS broker network path (VPC peering/PrivateLink to a message-broker SaaS)</t>
        </is>
      </c>
      <c r="C23" s="27" t="inlineStr">
        <is>
          <t>Broker type, number of brokers/AZs, encryption-in-transit setting, auth mechanism (SASL/mTLS/IAM), network path (on-prem via Direct Connect vs in-VPC vs SaaS over PrivateLink).</t>
        </is>
      </c>
      <c r="D23" s="27" t="inlineStr">
        <is>
          <t>App Scan's Kafka consumer/producer config category.</t>
        </is>
      </c>
      <c r="E23" s="27" t="inlineStr">
        <is>
          <t>Messaging</t>
        </is>
      </c>
    </row>
    <row r="24" ht="63.75" customHeight="1" s="19">
      <c r="A24" s="30" t="inlineStr">
        <is>
          <t>Edge / ingress</t>
        </is>
      </c>
      <c r="B24" s="27" t="inlineStr">
        <is>
          <t>ALB, NLB, API Gateway (REST or HTTP API), Route 53 records + routing policy</t>
        </is>
      </c>
      <c r="C24" s="27" t="inlineStr">
        <is>
          <t>Idle timeout (ALB default 60s / commonly raised; NLB default varies), deregistration delay, API Gateway throttle burst/rate limit and integration timeout (hard cap on managed API Gateway), Route 53 routing policy (failover/latency/weighted) + TTL.</t>
        </is>
      </c>
      <c r="D24" s="27" t="inlineStr">
        <is>
          <t>App Scan's Timeout Chain category — THIS is the piece that closes the loop between app-declared timeouts and the infra ceiling around them.</t>
        </is>
      </c>
      <c r="E24" s="27" t="inlineStr">
        <is>
          <t>Edge / timeout-chain-ordering</t>
        </is>
      </c>
    </row>
    <row r="25" ht="63.75" customHeight="1" s="19">
      <c r="A25" s="30" t="inlineStr">
        <is>
          <t>Async / eventing</t>
        </is>
      </c>
      <c r="B25" s="27" t="inlineStr">
        <is>
          <t>SQS queue + redrive policy/DLQ, EventBridge rule + schedule expression, SNS topic, Lambda function + concurrency/reserved-concurrency, S3 event notifications</t>
        </is>
      </c>
      <c r="C25" s="27" t="inlineStr">
        <is>
          <t>Queue visibility timeout vs consumer processing time, DLQ maxReceiveCount, EventBridge schedule expression + target, Lambda reserved concurrency (a throttling ceiling that can silently cap a 'scheduled job' pattern).</t>
        </is>
      </c>
      <c r="D25" s="27" t="inlineStr">
        <is>
          <t>App Scan's scheduled-job findings (duplicate/missed execution risk) — infra concurrency limits are often the actual root cause.</t>
        </is>
      </c>
      <c r="E25" s="27" t="inlineStr">
        <is>
          <t>Compute (scheduled) / Pipeline</t>
        </is>
      </c>
    </row>
    <row r="26" ht="42.75" customHeight="1" s="19">
      <c r="A26" s="30" t="inlineStr">
        <is>
          <t>Secrets &amp; config</t>
        </is>
      </c>
      <c r="B26" s="27" t="inlineStr">
        <is>
          <t>Secrets Manager secret, SSM Parameter Store parameter, KMS key + key policy</t>
        </is>
      </c>
      <c r="C26" s="27" t="inlineStr">
        <is>
          <t>Rotation configuration (automatic vs none), which IAM roles/policies grant access, KMS key policy grantees, whether a parameter uses SecureString.</t>
        </is>
      </c>
      <c r="D26" s="27" t="inlineStr">
        <is>
          <t>App Scan's EXTERNAL_CONFIG-flagged keys — this is where those get their access-pattern facts filled in (not their values).</t>
        </is>
      </c>
      <c r="E26" s="27" t="inlineStr">
        <is>
          <t>Config/Secrets</t>
        </is>
      </c>
    </row>
    <row r="27" ht="32.25" customHeight="1" s="19">
      <c r="A27" s="30" t="inlineStr">
        <is>
          <t>Network boundary</t>
        </is>
      </c>
      <c r="B27" s="27" t="inlineStr">
        <is>
          <t>VPC endpoints (Interface/Gateway), Direct Connect / Transit Gateway attachments, security groups on cross-boundary paths</t>
        </is>
      </c>
      <c r="C27" s="27" t="inlineStr">
        <is>
          <t>Which AWS services have a private endpoint vs traverse NAT/public path; on-prem-bound routes and what depends on them.</t>
        </is>
      </c>
      <c r="D27" s="27" t="inlineStr">
        <is>
          <t>App Scan's on-prem/external-dependency findings.</t>
        </is>
      </c>
      <c r="E27" s="27" t="inlineStr">
        <is>
          <t>Network</t>
        </is>
      </c>
    </row>
    <row r="28" ht="53.25" customHeight="1" s="19">
      <c r="A28" s="30" t="inlineStr">
        <is>
          <t>DR / region posture</t>
        </is>
      </c>
      <c r="B28" s="27" t="inlineStr">
        <is>
          <t>Aurora Global Database region config, Route 53 failover records, any DR-orchestration resource (state machine, custom automation, alarm-triggered Lambda/pipeline)</t>
        </is>
      </c>
      <c r="C28" s="27" t="inlineStr">
        <is>
          <t>Per-service DR posture as CONFIRMED infra fact (active/active, active/passive, N-active, pilot light) rather than as previously diagrammed/reported — infra is ground truth here.</t>
        </is>
      </c>
      <c r="D28" s="27" t="inlineStr">
        <is>
          <t>Service Inventory tab's DR Posture column — reconcile disagreements explicitly.</t>
        </is>
      </c>
      <c r="E28" s="27" t="inlineStr">
        <is>
          <t>Region/DR</t>
        </is>
      </c>
    </row>
    <row r="29"/>
    <row r="30" ht="15" customHeight="1" s="19">
      <c r="A30" s="31" t="inlineStr">
        <is>
          <t>Step 3 — Reconciling infra facts against the Service Inventory tab</t>
        </is>
      </c>
    </row>
    <row r="31" ht="189" customHeight="1" s="19">
      <c r="A31" s="34" t="inlineStr">
        <is>
          <t>•  The Service Inventory tab was originally built from architecture diagrams — treat infra-as-code as the higher-confidence source when the two disagree, but record BOTH values and the disagreement rather than silently overwriting the diagram-derived one.</t>
        </is>
      </c>
    </row>
    <row r="32" ht="108.75" customHeight="1" s="19">
      <c r="A32" s="34" t="inlineStr">
        <is>
          <t>•  Any component found in infra that has no corresponding row/mention in Service Inventory is a coverage gap — add it rather than dropping it.</t>
        </is>
      </c>
    </row>
    <row r="33" ht="122.25" customHeight="1" s="19">
      <c r="A33" s="34" t="inlineStr">
        <is>
          <t>•  RDS Proxy presence/absence is the single highest-value reconciliation in this pass — several catalog scenarios (e.g., writer-failover asymmetry) depend on it being correct.</t>
        </is>
      </c>
    </row>
    <row r="34"/>
    <row r="35"/>
    <row r="36" ht="15" customHeight="1" s="19">
      <c r="A36" s="31" t="inlineStr">
        <is>
          <t>Onboarding a new AWS component or service (future-proofing)</t>
        </is>
      </c>
    </row>
    <row r="37" ht="95.25" customHeight="1" s="19">
      <c r="A37" s="34" t="inlineStr">
        <is>
          <t>•  1. Add a row to the Step-2 table above: component category, resource types/signals, what to extract, what to cross-check.</t>
        </is>
      </c>
    </row>
    <row r="38" ht="95.25" customHeight="1" s="19">
      <c r="A38" s="34" t="inlineStr">
        <is>
          <t>•  2. Decide which existing Fault Domain (Coverage Matrix tab in the main workbook) it belongs to, or declare a new one if genuinely novel.</t>
        </is>
      </c>
    </row>
    <row r="39" ht="175.5" customHeight="1" s="19">
      <c r="A39" s="34" t="inlineStr">
        <is>
          <t>•  3. Draft at least one new scenario using the existing ID convention: CE-&lt;DOMAIN&gt;-NN, with the same required fields as the Scenario Catalog tab (hypothesis, tooling, blast radius, abort condition, dual success criteria, PERF validity).</t>
        </is>
      </c>
    </row>
    <row r="40" ht="81.75" customHeight="1" s="19">
      <c r="A40" s="34" t="inlineStr">
        <is>
          <t>•  4. Add the component to the Service Inventory tab for every service that adopts it, not just the first one.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2026-07-13T16:09:16Z</dcterms:created>
  <dcterms:modified xmlns:dcterms="http://purl.org/dc/terms/" xmlns:xsi="http://www.w3.org/2001/XMLSchema-instance" xsi:type="dcterms:W3CDTF">2026-07-22T15:15:59Z</dcterms:modified>
  <cp:revision>0</cp:revision>
</cp:coreProperties>
</file>